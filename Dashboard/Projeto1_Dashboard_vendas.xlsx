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Estudo_SQL\SQL+para+análise+de+dados+-+Material+de+apoio\SQL para análise de dados - Material de apoio\Exercícios\09-Projeto1-Dashboard de vendas\"/>
    </mc:Choice>
  </mc:AlternateContent>
  <xr:revisionPtr revIDLastSave="0" documentId="13_ncr:1_{C41A3A7F-AB88-492A-882A-52EE87C57F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2" r:id="rId1"/>
    <sheet name="Resultados" sheetId="3" r:id="rId2"/>
    <sheet name="Queries" sheetId="4" r:id="rId3"/>
  </sheets>
  <definedNames>
    <definedName name="_xlnm._FilterDatabase" localSheetId="0" hidden="1">Resultados!$M$3:$N$3</definedName>
    <definedName name="_xlchart.v5.0" hidden="1">Resultados!$I$3:$J$3</definedName>
    <definedName name="_xlchart.v5.1" hidden="1">Resultados!$I$4:$J$8</definedName>
    <definedName name="_xlchart.v5.2" hidden="1">Resultados!$K$3</definedName>
    <definedName name="_xlchart.v5.3" hidden="1">Resultados!$K$4:$K$8</definedName>
    <definedName name="_xlchart.v5.4" hidden="1">Resultados!$I$3:$J$3</definedName>
    <definedName name="_xlchart.v5.5" hidden="1">Resultados!$I$4:$J$8</definedName>
    <definedName name="_xlchart.v5.6" hidden="1">Resultados!$K$3</definedName>
    <definedName name="_xlchart.v5.7" hidden="1">Resultados!$K$4:$K$8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E29" i="3" l="1"/>
  <c r="F29" i="3" l="1"/>
  <c r="G29" i="3" l="1"/>
  <c r="H29" i="3" l="1"/>
  <c r="I29" i="3" l="1"/>
  <c r="J29" i="3" l="1"/>
  <c r="K29" i="3" l="1"/>
  <c r="L29" i="3" l="1"/>
  <c r="M29" i="3" l="1"/>
  <c r="N29" i="3" l="1"/>
</calcChain>
</file>

<file path=xl/sharedStrings.xml><?xml version="1.0" encoding="utf-8"?>
<sst xmlns="http://schemas.openxmlformats.org/spreadsheetml/2006/main" count="48" uniqueCount="41">
  <si>
    <t>mês</t>
  </si>
  <si>
    <t>leads (#)</t>
  </si>
  <si>
    <t>vendas (#)</t>
  </si>
  <si>
    <t>receita (k, R$)</t>
  </si>
  <si>
    <t>conversão (%)</t>
  </si>
  <si>
    <t>ticket médio (k, R$)</t>
  </si>
  <si>
    <t>estado</t>
  </si>
  <si>
    <t>país</t>
  </si>
  <si>
    <t>marca</t>
  </si>
  <si>
    <t>loja</t>
  </si>
  <si>
    <t>dia_semana</t>
  </si>
  <si>
    <t>dia da semana</t>
  </si>
  <si>
    <t>visitas (#)</t>
  </si>
  <si>
    <t>1 - Receita, leads, conversão e ticket médio mês a mês</t>
  </si>
  <si>
    <t>2- Estados que mais venderam</t>
  </si>
  <si>
    <t>3 - Marcas que mais venderam no mês</t>
  </si>
  <si>
    <t>4 - Lojas que mais venderam</t>
  </si>
  <si>
    <t>5 - Dias da semana com maior número de visitas ao site</t>
  </si>
  <si>
    <t>Brazil</t>
  </si>
  <si>
    <t>SP</t>
  </si>
  <si>
    <t>MG</t>
  </si>
  <si>
    <t>SC</t>
  </si>
  <si>
    <t>RS</t>
  </si>
  <si>
    <t>RJ</t>
  </si>
  <si>
    <t>FIAT</t>
  </si>
  <si>
    <t>CHEVROLET</t>
  </si>
  <si>
    <t>VOLKSWAGEN</t>
  </si>
  <si>
    <t>FORD</t>
  </si>
  <si>
    <t>RENAULT</t>
  </si>
  <si>
    <t>KIYOKO CILEIDI JERY LTDA</t>
  </si>
  <si>
    <t>CLAUDINEO JOZENAIDE LUYANE LTDA</t>
  </si>
  <si>
    <t>ADO JUBERTH VALTUIDES LTDA</t>
  </si>
  <si>
    <t>GERRIVALDO ROSIELEN VALTEIDE LTDA</t>
  </si>
  <si>
    <t>NILFA CID SILVANDRO LTDA</t>
  </si>
  <si>
    <t>domingo</t>
  </si>
  <si>
    <t>segunda-feira</t>
  </si>
  <si>
    <t>terça-feria</t>
  </si>
  <si>
    <t>quarta-feira</t>
  </si>
  <si>
    <t>quinta-feira</t>
  </si>
  <si>
    <t>sexta-feira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</si>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</sst>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-416]mmm\-yy;@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9" fontId="0" fillId="2" borderId="0" xfId="0" applyNumberFormat="1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3" fontId="0" fillId="2" borderId="0" xfId="0" applyNumberFormat="1" applyFill="1"/>
    <xf numFmtId="3" fontId="0" fillId="0" borderId="0" xfId="0" applyNumberFormat="1"/>
    <xf numFmtId="165" fontId="0" fillId="2" borderId="0" xfId="0" applyNumberFormat="1" applyFill="1"/>
    <xf numFmtId="165" fontId="0" fillId="0" borderId="0" xfId="0" applyNumberFormat="1"/>
    <xf numFmtId="17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0"/>
      <color rgb="FF404040"/>
      <color rgb="FFC89400"/>
      <color rgb="FF1C819E"/>
      <color rgb="FF176C83"/>
      <color rgb="FFBFBFBF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Resultados!$C$3</c:f>
              <c:strCache>
                <c:ptCount val="1"/>
                <c:pt idx="0">
                  <c:v>leads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Resultados!$C$4:$C$15</c:f>
              <c:numCache>
                <c:formatCode>#,##0</c:formatCode>
                <c:ptCount val="12"/>
                <c:pt idx="0">
                  <c:v>26</c:v>
                </c:pt>
                <c:pt idx="1">
                  <c:v>931</c:v>
                </c:pt>
                <c:pt idx="2">
                  <c:v>1207</c:v>
                </c:pt>
                <c:pt idx="3">
                  <c:v>1008</c:v>
                </c:pt>
                <c:pt idx="4">
                  <c:v>1058</c:v>
                </c:pt>
                <c:pt idx="5">
                  <c:v>1300</c:v>
                </c:pt>
                <c:pt idx="6">
                  <c:v>1932</c:v>
                </c:pt>
                <c:pt idx="7">
                  <c:v>2376</c:v>
                </c:pt>
                <c:pt idx="8">
                  <c:v>3819</c:v>
                </c:pt>
                <c:pt idx="9">
                  <c:v>4440</c:v>
                </c:pt>
                <c:pt idx="10">
                  <c:v>6130</c:v>
                </c:pt>
                <c:pt idx="11">
                  <c:v>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Resultados!$F$3</c:f>
              <c:strCache>
                <c:ptCount val="1"/>
                <c:pt idx="0">
                  <c:v>conversão (%)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Resultados!$F$4:$F$15</c:f>
              <c:numCache>
                <c:formatCode>0%</c:formatCode>
                <c:ptCount val="12"/>
                <c:pt idx="0">
                  <c:v>0.19230769230769201</c:v>
                </c:pt>
                <c:pt idx="1">
                  <c:v>3.7593984962405999E-2</c:v>
                </c:pt>
                <c:pt idx="2">
                  <c:v>3.6454018227009097E-2</c:v>
                </c:pt>
                <c:pt idx="3">
                  <c:v>3.2738095238095198E-2</c:v>
                </c:pt>
                <c:pt idx="4">
                  <c:v>3.0245746691871401E-2</c:v>
                </c:pt>
                <c:pt idx="5">
                  <c:v>5.2307692307692298E-2</c:v>
                </c:pt>
                <c:pt idx="6">
                  <c:v>6.15942028985507E-2</c:v>
                </c:pt>
                <c:pt idx="7">
                  <c:v>5.97643097643097E-2</c:v>
                </c:pt>
                <c:pt idx="8">
                  <c:v>0.103168368682901</c:v>
                </c:pt>
                <c:pt idx="9">
                  <c:v>0.132657657657657</c:v>
                </c:pt>
                <c:pt idx="10">
                  <c:v>0.17504078303425699</c:v>
                </c:pt>
                <c:pt idx="11">
                  <c:v>0.19738706123091401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i="0"/>
              <a:t>Receita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8964838790962708E-2"/>
          <c:y val="0.19366649151933321"/>
          <c:w val="0.86520753223694313"/>
          <c:h val="0.63886141076654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Resultados!$E$3</c:f>
              <c:strCache>
                <c:ptCount val="1"/>
                <c:pt idx="0">
                  <c:v>receita (k, R$)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Resultados!$E$4:$E$15</c:f>
              <c:numCache>
                <c:formatCode>#,##0</c:formatCode>
                <c:ptCount val="12"/>
                <c:pt idx="0">
                  <c:v>259.29000000000002</c:v>
                </c:pt>
                <c:pt idx="1">
                  <c:v>1676.45685</c:v>
                </c:pt>
                <c:pt idx="2">
                  <c:v>2278.5075000000002</c:v>
                </c:pt>
                <c:pt idx="3">
                  <c:v>2602.7686899999999</c:v>
                </c:pt>
                <c:pt idx="4">
                  <c:v>2297.2240499999998</c:v>
                </c:pt>
                <c:pt idx="5">
                  <c:v>3631.0958999999998</c:v>
                </c:pt>
                <c:pt idx="6">
                  <c:v>7911.1924799999997</c:v>
                </c:pt>
                <c:pt idx="7">
                  <c:v>7477.5559199999998</c:v>
                </c:pt>
                <c:pt idx="8">
                  <c:v>21508.476480000001</c:v>
                </c:pt>
                <c:pt idx="9">
                  <c:v>33179.246639999998</c:v>
                </c:pt>
                <c:pt idx="10">
                  <c:v>58987.786489999999</c:v>
                </c:pt>
                <c:pt idx="11">
                  <c:v>68274.090230000002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305806031"/>
        <c:axId val="1305802703"/>
      </c:barChart>
      <c:lineChart>
        <c:grouping val="standard"/>
        <c:varyColors val="0"/>
        <c:ser>
          <c:idx val="1"/>
          <c:order val="1"/>
          <c:tx>
            <c:strRef>
              <c:f>Resultados!$G$3</c:f>
              <c:strCache>
                <c:ptCount val="1"/>
                <c:pt idx="0">
                  <c:v>ticket médio (k, R$)</c:v>
                </c:pt>
              </c:strCache>
            </c:strRef>
          </c:tx>
          <c:spPr>
            <a:ln w="28575" cap="rnd">
              <a:solidFill>
                <a:srgbClr val="FFBE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bg1">
                  <a:lumMod val="75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Resultados!$B$4:$B$15</c:f>
              <c:numCache>
                <c:formatCode>[$-416]mmm\-yy;@</c:formatCode>
                <c:ptCount val="12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  <c:pt idx="4">
                  <c:v>44197</c:v>
                </c:pt>
                <c:pt idx="5">
                  <c:v>44228</c:v>
                </c:pt>
                <c:pt idx="6">
                  <c:v>44256</c:v>
                </c:pt>
                <c:pt idx="7">
                  <c:v>44287</c:v>
                </c:pt>
                <c:pt idx="8">
                  <c:v>44317</c:v>
                </c:pt>
                <c:pt idx="9">
                  <c:v>44348</c:v>
                </c:pt>
                <c:pt idx="10">
                  <c:v>44378</c:v>
                </c:pt>
                <c:pt idx="11">
                  <c:v>44409</c:v>
                </c:pt>
              </c:numCache>
            </c:numRef>
          </c:cat>
          <c:val>
            <c:numRef>
              <c:f>Resultados!$G$4:$G$15</c:f>
              <c:numCache>
                <c:formatCode>#,##0.0</c:formatCode>
                <c:ptCount val="12"/>
                <c:pt idx="0">
                  <c:v>51.857999999999997</c:v>
                </c:pt>
                <c:pt idx="1">
                  <c:v>47.898767142857103</c:v>
                </c:pt>
                <c:pt idx="2">
                  <c:v>51.784261363636297</c:v>
                </c:pt>
                <c:pt idx="3">
                  <c:v>78.871778484848406</c:v>
                </c:pt>
                <c:pt idx="4">
                  <c:v>71.788251562499994</c:v>
                </c:pt>
                <c:pt idx="5">
                  <c:v>53.398469117646997</c:v>
                </c:pt>
                <c:pt idx="6">
                  <c:v>66.480609075630198</c:v>
                </c:pt>
                <c:pt idx="7">
                  <c:v>52.658844507042197</c:v>
                </c:pt>
                <c:pt idx="8">
                  <c:v>54.590041827411099</c:v>
                </c:pt>
                <c:pt idx="9">
                  <c:v>56.331488353140898</c:v>
                </c:pt>
                <c:pt idx="10">
                  <c:v>54.974637921714802</c:v>
                </c:pt>
                <c:pt idx="11">
                  <c:v>54.445048030302999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57-4792-8753-862D5E3D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420143"/>
        <c:axId val="1886418895"/>
      </c:lineChart>
      <c:dateAx>
        <c:axId val="1305806031"/>
        <c:scaling>
          <c:orientation val="minMax"/>
        </c:scaling>
        <c:delete val="0"/>
        <c:axPos val="b"/>
        <c:numFmt formatCode="[$-416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2703"/>
        <c:crosses val="autoZero"/>
        <c:auto val="1"/>
        <c:lblOffset val="100"/>
        <c:baseTimeUnit val="months"/>
      </c:dateAx>
      <c:valAx>
        <c:axId val="130580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806031"/>
        <c:crosses val="autoZero"/>
        <c:crossBetween val="between"/>
      </c:valAx>
      <c:valAx>
        <c:axId val="1886418895"/>
        <c:scaling>
          <c:orientation val="minMax"/>
        </c:scaling>
        <c:delete val="0"/>
        <c:axPos val="r"/>
        <c:numFmt formatCode="#,##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420143"/>
        <c:crosses val="max"/>
        <c:crossBetween val="between"/>
      </c:valAx>
      <c:dateAx>
        <c:axId val="1886420143"/>
        <c:scaling>
          <c:orientation val="minMax"/>
        </c:scaling>
        <c:delete val="1"/>
        <c:axPos val="b"/>
        <c:numFmt formatCode="[$-416]mmm\-yy;@" sourceLinked="1"/>
        <c:majorTickMark val="out"/>
        <c:minorTickMark val="none"/>
        <c:tickLblPos val="nextTo"/>
        <c:crossAx val="1886418895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marcas mais vendidas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Resultados!$N$3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Resultados!$M$4:$M$8</c:f>
              <c:strCache>
                <c:ptCount val="5"/>
                <c:pt idx="0">
                  <c:v>FIAT</c:v>
                </c:pt>
                <c:pt idx="1">
                  <c:v>CHEVROLET</c:v>
                </c:pt>
                <c:pt idx="2">
                  <c:v>VOLKSWAGEN</c:v>
                </c:pt>
                <c:pt idx="3">
                  <c:v>FORD</c:v>
                </c:pt>
                <c:pt idx="4">
                  <c:v>RENAULT</c:v>
                </c:pt>
              </c:strCache>
            </c:strRef>
          </c:cat>
          <c:val>
            <c:numRef>
              <c:f>Resultados!$N$4:$N$8</c:f>
              <c:numCache>
                <c:formatCode>General</c:formatCode>
                <c:ptCount val="5"/>
                <c:pt idx="0">
                  <c:v>248</c:v>
                </c:pt>
                <c:pt idx="1">
                  <c:v>237</c:v>
                </c:pt>
                <c:pt idx="2">
                  <c:v>193</c:v>
                </c:pt>
                <c:pt idx="3">
                  <c:v>136</c:v>
                </c:pt>
                <c:pt idx="4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lojas que mais venderam no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Resultados!$Q$3</c:f>
              <c:strCache>
                <c:ptCount val="1"/>
                <c:pt idx="0">
                  <c:v>vendas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Resultados!$P$4:$P$8</c:f>
              <c:strCache>
                <c:ptCount val="5"/>
                <c:pt idx="0">
                  <c:v>KIYOKO CILEIDI JERY LTDA</c:v>
                </c:pt>
                <c:pt idx="1">
                  <c:v>CLAUDINEO JOZENAIDE LUYANE LTDA</c:v>
                </c:pt>
                <c:pt idx="2">
                  <c:v>ADO JUBERTH VALTUIDES LTDA</c:v>
                </c:pt>
                <c:pt idx="3">
                  <c:v>GERRIVALDO ROSIELEN VALTEIDE LTDA</c:v>
                </c:pt>
                <c:pt idx="4">
                  <c:v>NILFA CID SILVANDRO LTDA</c:v>
                </c:pt>
              </c:strCache>
            </c:strRef>
          </c:cat>
          <c:val>
            <c:numRef>
              <c:f>Resultados!$Q$4:$Q$8</c:f>
              <c:numCache>
                <c:formatCode>General</c:formatCode>
                <c:ptCount val="5"/>
                <c:pt idx="0">
                  <c:v>18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Visitas</a:t>
            </a:r>
            <a:r>
              <a:rPr lang="en-US" baseline="0"/>
              <a:t> ao site por dia da semana no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Resultados!$U$3</c:f>
              <c:strCache>
                <c:ptCount val="1"/>
                <c:pt idx="0">
                  <c:v>visitas (#)</c:v>
                </c:pt>
              </c:strCache>
            </c:strRef>
          </c:tx>
          <c:spPr>
            <a:solidFill>
              <a:srgbClr val="176C8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Resultados!$T$4:$T$10</c:f>
              <c:strCache>
                <c:ptCount val="7"/>
                <c:pt idx="0">
                  <c:v>domingo</c:v>
                </c:pt>
                <c:pt idx="1">
                  <c:v>segunda-feira</c:v>
                </c:pt>
                <c:pt idx="2">
                  <c:v>terça-feria</c:v>
                </c:pt>
                <c:pt idx="3">
                  <c:v>quarta-feira</c:v>
                </c:pt>
                <c:pt idx="4">
                  <c:v>quinta-feira</c:v>
                </c:pt>
                <c:pt idx="5">
                  <c:v>sexta-feira</c:v>
                </c:pt>
                <c:pt idx="6">
                  <c:v>sábado</c:v>
                </c:pt>
              </c:strCache>
            </c:strRef>
          </c:cat>
          <c:val>
            <c:numRef>
              <c:f>Resultados!$U$4:$U$10</c:f>
              <c:numCache>
                <c:formatCode>General</c:formatCode>
                <c:ptCount val="7"/>
                <c:pt idx="0">
                  <c:v>67</c:v>
                </c:pt>
                <c:pt idx="1">
                  <c:v>1301</c:v>
                </c:pt>
                <c:pt idx="2">
                  <c:v>1238</c:v>
                </c:pt>
                <c:pt idx="3">
                  <c:v>1038</c:v>
                </c:pt>
                <c:pt idx="4">
                  <c:v>1076</c:v>
                </c:pt>
                <c:pt idx="5">
                  <c:v>956</c:v>
                </c:pt>
                <c:pt idx="6">
                  <c:v>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16-4CC5-98DF-5CAE1CA2C88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100"/>
        <c:axId val="1928149903"/>
        <c:axId val="1928139087"/>
      </c:barChart>
      <c:catAx>
        <c:axId val="1928149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139087"/>
        <c:crosses val="autoZero"/>
        <c:auto val="1"/>
        <c:lblAlgn val="ctr"/>
        <c:lblOffset val="100"/>
        <c:noMultiLvlLbl val="0"/>
      </c:catAx>
      <c:valAx>
        <c:axId val="19281390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28149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Estados que mais venderam no mês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Estados que mais venderam no mês</a:t>
          </a:r>
        </a:p>
      </cx:txPr>
    </cx:title>
    <cx:plotArea>
      <cx:plotAreaRegion>
        <cx:series layoutId="regionMap" uniqueId="{02A53EDD-DCFC-4A88-B213-71274D6215FF}">
          <cx:tx>
            <cx:txData>
              <cx:f>_xlchart.v5.2</cx:f>
              <cx:v>vendas (#)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BR" attribution="Powered by Bing">
              <cx:geoCache provider="{E9337A44-BEBE-4D9F-B70C-5C5E7DAFC167}">
                <cx:binary>3HzZctxIku2vyPQ8UAUQCwJtXf0QAHIjkxSX0sIXGEVRgX3ff2c+5f7YPaBK1WSSxRzOw5jNsK1b
mYnFw7fjHu4e/c+78R936f1t/W7M0rz5x934+/uwbct//PZbcxfeZ7fNhyy6q4um+NF+uCuy34of
P6K7+9++17dDlOvfLGKy3+7C27q9H9//6594m74vTou72zYq8ovuvp4u75subZtXrr146d1d0eXt
8rjGm35/r+rbOUrfv7v9nkW5FzVtHd215u/vr9z37+7zNmqn66m8//39k+vv3/12+PJnC3mXYq1t
9x3PGpb9gTuOZMQUzJSM2+/fpUWuf11m8gPH7xbhljAtShiu/6R9dpvh+avbvL195962t3WU3/66
9tK6HlZ1+/17fd80YOnh3+fPP+HlJ6t/I5WoKdyf8nKLhRN1+cD6b0/18a9/HvwAYRz88khlh5I7
dum/rLGPr0nmrRqjHziljnCkJA9/5oHKxAdhSSkkcX7+yV/E/1TZ//vP4t3H2y4tfv3+BnU9evZQ
VeDx/4Cq9uvXpPJGVZnOB8eUAs7FXlYV/eBQLnAP/Xmd/iL+U1V7+FTzbn1f30bNryv/dWU9ffpA
XQuf/wfUdXn1mlzeqC5KPhDqcMuBxzwGQW5+sEzhUFz8qSbrF9GfarqMinfr+jb/fv/ue/HuqgNm
/z0+v4yDL7ziQGELp/8LFfZYEE+W/9ZAZZIP9OGPQPpPtEM/WA9qscWL2vkVRv9+JS+r5NdzT1b9
76j8vyn+XO5es8g3eollfXDIEntM688A81QfjH4wHWFT56dWCDkAtcXU4Sm72/w+qv8bMejw+UM/
Aa//oyr7+3Tir8TLQ37kP2RsjzKK16/+SkUOHn0FWP68tP3++3sgmIWs4K9McHnJn5f/Lgd49Nj9
bdMiM2TsgylMCtyzqI3MTzjv3w33D5c4VExsx7GlwyxpmwSX8qJuQzyGmGdLCwkKcQTBw1S8f9cU
3cM1i3+gJjWZZI7klJtc/JVAfyzSSRf5X0L58/u7vMs+FlHeNr+/FwLJZ/nzvmW5ggnicMmJLSmz
sBYbyyjvbi+RpeN28z96RhPRRU7o5XqOpVsLlo3+MFriPpk6+Uc70OSGBUEzuDwu8o9mMyep0tRs
RteW8XAn47FjJ06vk8YNjETvc7sJb5IybqjqLSfYS43UeJ0EIasrl2ljvLFjO+m8oenEJxbOQ38R
UzN1dh2TdvpRs8gip1XpxJ2XZEmQqtgh9IYLnpwTZrFyZZZ9Un6qrDRMbNcpB7P7NqQpOSFD250Y
WVfGilthRxX4CgplGVPbqbmjU6bkWHQ3UW2FxG0tp/9KYhLlblqnlVR6qMaPvTUIoXTdxt+FbiN9
2pfOVClixY7hD+1UjR4l5nAT59WQq2TSNTvNnMrJ1KzHvlWdtKcvoh+HVqVOGNiqaIO+VGQeeKXm
wUxyV4eNzL24zei9LuvpVBbxOLqmHQdcBfVsjG5fTKT187lwYjU2sSGVNYZjqcrCSErX0EEzq262
utMo0WQ/ZGnmqLIaTUMFwnIKFZJ8mlxiztVdnjjdVdvE0Y+264ZdG4n4c8IoGVyzFK3h6oSws5Ha
9V5S0Vw0XI+h6rhlnbRdFTXeHEQzU4FsE8edg3FoVGmb5tfAisWZzmmdKhsQdy8Yb2M1RJGQStq1
iL2pjIPMHZ3MuR7opJ21bivn49SkpVZZk8pQRZZjlCrKSO6oaJyNcjXLybwjZWxfBtNQdD4NbX1W
NznEWCbTXK9kPXOtxrI30z3smg5ulvR1qLA5G1pX0ykvfRmV2U0STjxQbZrPq1oSXnmzdvI7s6uL
YO0kYXEHv8q+9U6baVUaVturik3pp6gKCqKcwuquLNOsC7dvm/I2aed0X04SFp+JKPgUZGVc+zIf
NdRj1NnHuUpy4fHUbnyZVWG6GuXQaFUUMircKorBIMlGRpRFmPPDlsN4GzmCNsqICflSz1Gv0q4P
GzdiLc9WMR1M1dEK2p8aMUtlDGaZbbgxy1FRx7ECpauEtyoOmnZxKVJfN1ZHTmTVB7AvO8oDqGkk
lgpaTjuXxGXKVGfItFB6Zv3sFUKz3JXGKC8mR1upq43AOB2EGWpVh0lyHXVG3KmiNozM15o3UtkV
jYmX6Hm8HLCSa4OG3Y9xZGWgxi7hp4lFh8jL62hMYPSDXaupKsRdb45JqCo92DeyzptOxTkdawXk
K6+0XcSfTCNPetWOpDWVU5Mo8OJuzj/nJGrCVWambewRmG7oBVVsM4CB0Th+ME7TqW6dfFCsmIc/
eoPFGawojUqvIrPZryORDLOasW9I3CCLba00iVt4iGTz6BkWSR23nMS8g2iJV7BB70kti/POZMll
YK4lP2NFx0evaAJ62Qo7TL1ZWDBFM+RloZik8SofouFTn3RRB2QJ4xlYEzDmtyZvbmyZSHtnTx2/
0HCl72JIG+2FcTQRZXMnx9Nap6aycm3+KIu+aL2OtYafM0M0LpsnXqusaquPfSR4oVrTYqGSwL+t
URcDVyQZk2al+3S8bgYdZ66Ugf2FRAOxTxqA1uDWVDtf81kUTLUF4anfkCGpVNIM/bUGHM4qcULD
UTqYglqxUM5UkTjFLTqp0sshaUioYMi8XxmShheVpNNuCCqR+VHWjLlfsnmwvDQT2WlQOHOzDVKb
mWqI23RUpNTOWWzk1eROmWleh6bZ16pJ8yT0C7OlV0OS6BIqn+zv4eyksbKKeLrUjsjuR1ECxsyw
NtZtG8y+DMd2lwwGF24RFlavikamjj/yrPFZVBajyjUvIjUYfTf4Uy7YtyHsDdvNLCOpVdSPRbIE
I24r3ZFC+yxp8h017Mg6J1EKu87DLqpPapoHg6J1XQhX95m2PXucndwjjoX1iTlihWvOrd6KIiol
yIX6ntqdFie6iYvUC9LGTFTb6NDydZEF7SmXpAr9hNnm15Qn8+j342SXbljWFl1XuU5mwAQzbuYx
IrkaiDPMLrN5jBBbTcNVlIk+XOdDTq6riETSQ5IxOZvUTknhDn2oW9+OyrTyBzNMUzXNXdyrPA7z
ypWcRScNj+dRFYaTa183See4jAbWVyILo9pwVofCp3nF9JbY2UTdQQTDtdQ5jIfppi6Uk4+CqZ72
llaJ7CF/O2JN5OouG7/NyWzVrpYdzIRkHfuDTfh9rYtu/KabXGSbJuLjvCFdC7BiMoaVFboPymsW
TGHrUyBjp2ivUyWp7oQnxsq5GexkLFYdc5LBk5YdkHVBszZQfdw4pzSvNXM5gmHi5yQom9VIHDki
NM0xUYxHVekiLkzRphiSEHBFpmj0kK2UpSsbLFHyXH/XnTMUq4FNsIfCmLB8OSdTtE6sCTGr6ZrJ
hFZquEMy1Fh6YZX4HEhnFmqUlOfrzAl77ZopH6fTxE5I6vWd0VwZvZG5c9tB/HHbD9OqsGii3Sbp
x2jNjHK4T7idnzlRVs0+bfLx0gJSMrdq48BaOyGVzWaOc1a5SPNotRmqIZbnes574Q+TXF7Vlt28
SqYQkg+rVBqbfujrHMFeN84uipHabM3BKKJtMAREeFUlEUC61CCBqoaacLdHobTZdrUBQdIUAUoM
esj8oDPNH0E5jJUrsnI0VvHc53oTR5HJPa6NqfebSZPCr3JRfG7C0Sxg/7lxShpKDLehMxIAe9BT
4eZjlHRuYs7956Kug2Cr2wS2NBEHKFz1lMoVAMCmG1ZF4zeZkqpa67ghejsE5aSR0OQsPCN0qMcT
bSY92xFjMeNmDuR80ThNlG4Lk1r1F16I2u0Ho7oeQkESt2iGLlgnYdxuafKwiAKutC1SEsFRHOTS
sI6otLy+GW3qTXMxO5uyIhY7oZFh/pE7o5XsYIHCWJVdNznKKgNp+dHIxI1t8vh70rV55g1DllTr
uLONWeUoI9KVNlL6VY5jX3s0jbMzY6T5Er1Its5bAyzkRp5eStMKHL8OWnCDnQDJVNC15edARlar
Zhu2iNxL1oZfgAJzGbEi4TUBqa4My7C+6nkYv8UZWUyaTcDvOhaJ9mbCwZhRMRhpnVfwuDhMyxrG
b8KQ85HAwPU4435j5LAkuyAw2Lkbqqtkllnt5rEwkJ3mJvsDch3uhySls8/CId8VQ2a3Sphj/CVt
ZuQPEa9I5w5m3LUqzyT9HEckFqoVKaAsaCJpqigqNFfGNLCttMfJdHU2z5ZqUTSK3aC3kVD2Td1e
2tgyAUS7wEGGSovvTiX15Bttyy4lqStbJXmHDNHS0/ijsJPJ9gLOssoNnMpo3MnW6T21jGxW2HDU
ZBVXQ3hX1n2beXncVpGfdmbvpWk/RH6l06xT4dw0P6htGYXKjTT97IgxjrzekfW+YmPM/W4W80cd
D+LTPLdTq6oyyxrF7cH8owqJVW2gcWapKWftahq4UfuGUXeRVyeUfw3kNAeuXZmZS9oOQUpAtp0f
mW0IkLeN+gRoX2ZuEDb62ohs0V6Mlcy4T6cuL9x26R2s2rbmQvV9nH+j0khPbd03N7Dn8Ovc9AZ3
Y8Mh2tXOEHGvirFDgygNZis7j8LRa8s8rODnneRuZpZYyWwiM6gCuSQanLezklyy22xMikzBNYPv
/QykdQcbbZlJFvRUVzycXSuVab9G7lRR5FA6iVdtWBC2GQw97+s+7PJVn5D2u03TwvEHnTCmaGMR
AwmEZZluHw8mByrr7saILHaJXdpkeZldzSFyrSKR66RYbMKwMp77dOwMjiySjtOqqUXF/C5m8Yld
ySZQTPTDXTya5r5JjdBYtfZMsSOph1qroUS8VDUZauEnkjQ3dbaAIRtYd1kPYSFRwP1rg//Cbtlk
zzfLwkEtmkqHE8d0+NPNstGHCQ+jOPTmuSLw4byYhBp6mexpmsQ3YTdXn8OGpd8pDyj1CDNZ5oak
o7lbxZmBRKzNbAuSB0Z4UV2zb68v8IX12SizYjNMGFoXEnWDx5t5OrGq5oWjvSEI9Z63tPJQeTDd
16mYqBYe1gxsakmLW6aNP3ZApouzNDBkH3rOOMnspI6S2PYo78tGkSpJiDsXRTYse+7+29yO/I9i
tMIUyV+VXxe8HW4ju+xy9fqqFqIHhQzgBbUsG+kzkUsB+jHvRop9cBHoyBP1XRZ08eyVdTltWhbp
yJ2zt0ratCwL5Qa0/QQEcVg2AczYzAhyJCNVqzekDiYE0io4IullzU94QlZPLFQBGYIIs5Ya0WOe
ujQSfVbAoXQ06d6d4G7ncTU6viFGAwEZNYgsL/MVtWaN3tKrtr68+5C2NAVqKo7FmMNQgnxM24kL
EiRxRt1oGvMvWRXQGT4+5gpuWSeq1FFiKYodvXRpH/WTW5Y6N/2hEUYI+2OGvc5TxPOrcpjN04pP
813ZJuK7QYMAu9aAY4NjDnPwuRFdbHmvr35xxMPFw0UJQ23LRNHrwBjCmaVWYJSWOyUMu+thlggK
2Ofybq7fToqbDEU6FOwYqrYHzlCmJKwTyzEB7H3oB1U+eyNtuZc4VX3EHF5QCRfWUk0Ujs3R73qq
kjgRlTl2A7hqSHESBnm5NoI5cy3D1pdtn5UqGLrYjbORng6UD0dM4pmHmRaQxZYcVUOYpI3y6GOL
sAzHads8tJCvark25tYCOteI6cSgKKAU5OJ1JT5DM5NS04ZY4QWMCXMpXT4qTZZ6TII4YAHCUcI2
SZr3fhWF7RGhPufqKZUDU0kc6hhVQgO3NIiN7Ywo3HTJbs3Queh7yo/AlPUMPMEVRR9MCvTCBDUP
YgjPSVZGUmivnWh0xtORX5RTgYzXzg0L9bOkNK3xmymCJNiEiWmuAbdO5iUVSoYoz87NZ8RLbBSw
KUmjTTbmUep1TWcVm4kVdqzMtrRaFxbL4ap1a16P49xck0gEN5GDqsURfl5SEsrQaGVIaUk0aZ8q
KSwNFHSwz3apLMTXMIm+VEWTXL7VEhiVzCRLi1dQeWgJaTGlIZr1zJ1Smn51SIEC6piXJw9U/mwu
fPyJDz+r43dFOdWRDv+cMPnr67/Oy/v8qq3v79v9bfkw5vDva8ucyr+/nff3ddvV9+9wY/Nu1eXf
H6ZXDp9ZqP/1EIj/uZqlnfDky7Pext90L34OxvzNxSetjScdnF/Nq6XoT2GSf4WCZ32NXz27n72+
X/f/2dCw5AfJbIFwZBFB+OOGho1GPHrwFuOObQobwxV/NTT4BwAWYqSUaGkR9EPgyb/6GZR+sLlp
woBs4SzBxn5LP+Mp7nNhOkjNQJ8BNjCK4xxAFDU0YF7Xk6p4m1J3xtBSve66nBU7PfO4XT2SzJ8G
87h98pwcg2GiHYNuDTNN6xChDDvokpaNykyaiX8fU+x6U5UHkcGuNHPq+e51ek+dbWGPIbNb2jQm
8nT+0Mx5hIhoViT1lFajqgySX2IPLVAXEvGRNJeRAzq2BfXalDMgLxHClAd5B34yDTM0L06256vz
jbdaKbU62a9Wnrfau/i+9/C/nueqDT55+5PVVm1xz36PrzvPw7WNt8M1f4ePuHu13Z57G1zd4+Et
bnXdLd62Wiu8Eq9fblkVeH57vTrfbvE2hdcpf7m82q7cG9yCJSh3+QWf8cVXyt24G9DFvXjjx/U5
Xn/ieXjVDX7Z+sr38cYv3l5tt9dq67t4xvd913ddd7nNx/N43/Iy9xQf9uAEK7pcyK837u6Tv1tu
9Xdb5btnrofP4HqzLsC8i9Wt/M2p6662+9WyUKxtjScv3Vu8dYNbd2dXm83VIiYIanna2+8ztZC9
cvHz64ZhHdGYcwDDWVw3jMTmxX51frNdXYMp3711Nzv36ggl82m85Ie2cehibVOnVgvbWHkXX76d
a3Wu/K9nLlFH6NBlxf9O4Z7TWeLoI1tvqqYM7YUOVPRle3kJPbuQN1SyOdl7J677E/1/zrK94Mvm
gg2vETxIeAOzreIZBPfezTWsBXp6XUfAuSMUFiU+Zskq7aCPQOHiZHWyGPRq//Af/Ht+s4JvnMNW
9zf71c3+vFJwnP3NDXSpTtcwrO3lerter/31+lSdwcJ27skG5vz19PTBHE+Ve7aBvuF5cAvPvThx
FfzT3124Jyewvt1mc4SdY9wcJDKM9H0QQ17eF+8afgOJHbNqfoCvz2xtWcIjgc1A8pyDxMnq5lz7
cEu4+/ni8BDbJf62ao1Pi1drBQ53PzalO6gf3maz+TGoi6tjJrKMcr5qIweAn7VIoLLFKM+31+cr
98dmG6nVerUIfb8CxnlX+wUmoRgowlfAQHf56p2vrr3r7eXe+1IA29bqy8m3FV4AVs7Xan39sYf4
PKDI5XYNu/N3sPNS+We3sdpdQdWeZynvAgZx46g//DMgycpTG8+/AA7t9gvAvK5bvtj6a75wmBQX
KGCasFQA9l59Aeb2Cuv+ul6py5/IDPYAoieud7LCInzg7usroObTzc5z/z+IQbM9DdOwiPoL4H0P
KewXXNtfeeeee7LdAq03N/AWgDUQH1Fi7fsV4HW1gswRejZLFPC+QDmrG297fg7Aht2cX2qlPsOK
VtAJooS/gxd+AWrv1AOWbdfb8+3l/Var+8vlpd+uz28idT2rb1ptAXbAofNLfL2/hzUC8zfu2RUw
Fv9ebK78q80PF5C/uVLXiCKjUlqt4aqfT8/OPp/tNv4f293m+9UFIoV7gXDg+v6Vp25PEYg2Fyfe
FVxU+bvdKTB7t4HoPUj1Qczg/AfEjeAKiogtmz3i8v7E3fhncPWHGz9d4ecFFK68k4svX2CI7vcj
Gnnd3zGZ9NQZpQ4Kw0aIQZQ8wX9hu+u9h5AH11eut/sZ5NwjdmA6r9sBJsefkk162+4LkAVNiGN/
Dv+Hqy1Ul+hdKXiR+rbEesAl/GKrcCPQYXW5RGUoGorHp0s8sFVnSAhW+LQ8u92uz/Dv5gpC83bu
xUNiA7GulqgJjzqD524f0oXNbgeHXEx9tdjg+WqB01BtYEIQP9B65QGPTxY1epsve2Q63ubcwzOv
K2CJDv/2SWx7lpEfVNwESgC2Tezl+iMw7OfZ0aTLG3SBjd6b2rJ3bcpa/3UqT7X8JxWK9A8j6w5q
XAeeXwQNWh4UZe8gj9FoXyqzdT6mN+ggVF6UOMbZ6/Sec8UJkn8iMeArMeGzINEjrlJzRjlvlLXq
aoetIgxHrMK0N9+2S4XsOKEctUqJWWKLkwOuzE6iN0bQgIxZaH0mUZVt23Kcjxjrc9mBisM56pCo
C/LDtLmuUAtqbadWY8JC2w0djBuppOYcoxTOVDTKRI/i+nX5PQ2Ri76w+ebckkRiH2Utk52P5eeg
T1hm/YTWapVb6JRVHN2tJN6TTooj7L1ACjs/7HMcji4JBuSfkrIwKVFkHRrqRYqZpt7BdE0ZdaXb
oB6MicK/tpwff1r1443VC5IUqDliJA1itLEzfEqKlyKXRp7Vqo+aeNtFsdgIbN9OWUGd86Eu7M3r
9F6wwsf07ANsm9piLlBqrWHr5lxuMjMoDT/uRXSEzksiRNUcrUaUjrF7PhBhkMl5igrMgjlpFfZu
HM/x5LVRN99Q3VdHiL0kRG4LiWo4JWjsLNcfuRbqj0I2McbX9GQlXtfX1lkoROByJic02yU7AlAv
MiepLVCCR5FQHLhyzzoMikVWpcy0Y4o7MTqnrYWZi2jWR/z5JVIoTVMb3mwiVzgICqbBeWKMpFJT
jV5ma6XirInRUHIyXR9xsKcp34ODicekDhysn+2ybkxwxefiPMRI2lomU/XJNik7HVhSfapl9+Xt
1viY5DNBRsY4JCYEiR6xy+qAr3C0SR9x55dsXphoXwhs9Ak/tMXGKUOMG4a1KiOn+5gUZewaMqfn
/w1eYOxwZkwB2vLAswIesCp07AozO1mk6FiIVdQX4kjJ4iVTFxhhRVHKxAzr4fa3duyojipRKaN2
qHClkya7VGTBj6xswmsHeNUeca4XLRAnhFDyxxvZYd0zNsK0jgStVIt62Trtu6+csW9WZdn+2wVo
o51nLZELEy/LQh55MVp9oR44ICMMMNE0ZI30WGq2RxzqYPe7mDmKOg7G1tDBWALJAeKGhoy6lOe1
qmhNVZNjuJLPYeyXaOtgAqmgqhR8HQRJsqZo4RmY5MD0zkxYeARFnpslJqYxlmxZ6NwsSc9TfjEc
g41ljyhj5m0qLvKGhc02pF3WHNGgubjR04Rqmc1GrmNRybl5mHqMjZahORa1CqMw2ZHU6ldVVdLr
oq/3Whjjrm7Kwq+TwlQU9N1xSkIXOmjN1tl2k1EdSYWeI42D4AqPdFBFJTig9pRzTPgwafRjpUoi
B6oG7WRCYUJIU28g2sKwbN2Ly6Zrs/GI9p/LHJQtnLKSEs2lZ+nRZKGE35mIFCMtMANexIk70y4/
otkX+XtE5cDEJsxSz7oCaGNb13udTi0XLVNjnTGtJudrEQ+V91bfAV9QMAQnlhH7A+yW9pBTZJQV
+pSydg1nZG7P2jd2nmGjoCLQm0CTFg1TTOQ/8dC8sIKksVuMVmJ68bKQU+XTpInXpEvjb21Uz6vX
uXpJjjDZ5agOh58cIkKA2Yko5YhIIh5Y6fWVNE6sAHMhUmbN3uonp/VGDI4kR6zkGN0DPkWnx6oq
WKXSLK9P4qEotiVGHvZxh+EWzJwwlySxeQT+niM7Ws/INtH7QQLP6AH8jSVGqlOMNakEk2hfWqMb
Ox+j+/F6yB1SqjA32s+vi3d541NYcJaGBKXYAiEsHuaCHdVDzhtdqT5ock9UFWa6MsxVGvn49rQT
qTQyGEHRqxacH3hEwuY5GQQr1TR0qU+SuVuNLX97Mu3gADISEiSCOIV8OK6RTw1mTK2pVIZdDmua
sExhYOMCoxpcpZicel18L2DJE2qLFT2KV4O2RDMKoBUmawPTpRHG6dzAqufpiGXI53rCqIdNFutg
aCst1x8Rgh9HaRjOpUp70uxCaWTrIs/Irsi49Etb9NfjYBiJylBGGt7uCjjHiG4V8mtsyOkBk5hR
xchoi+g/G61zlVbcOjeJ1bmlxattgS5trMow4Ec4fsEylxNhiBCWLWA3BwECexLRUnNAKmoGnSqp
k6rSjHGUgvTG27HaedgrYygS25SHyuwj4cqymRqmSyRUYdGfiK7qthmmGnYRc6xNG9htqNIK4/yv
284LKkWJA3UHJCISp0wOYn8dVtaM/5sB4HUnLK3SCCPPQ1Q0O17Q7mxkRYx5S6fBoYo+OkL6mdku
QVcwapnMQsh4qPw+YpgHQ15WFRBFxxJDhySnK9Ri+v3rDD7TIKggvDrLngzp1iG21MFI62GGzc5R
ixmDZhlTwhY33dDSzk9fp/USR0AXpJ84XiYd8yDzTljEIl62Jcb8c5weqjpjvukNK7WPmMqLPDEM
v0iJyoA4BLFojks5kK6EVSaT15QTOyFpl22rsWuOYMtLpGzYP6FiCbSHU1ftEOSYLMOcC690o1D2
MLxynr5iNnE6khy+JDzkQnABc5n0OxwgqjIZRqNVlqpmJPJrA7luOISV/2YVLWEGoRHCI/bhRE2j
7dCpoggQxjESTESDozJFJt+uICTUSz0PNCRGkZ4C5WTq0oobHIUbeI/kEkDlF6OML4JKz19fZ+gF
BdHlYCKmS5YZoYe+wiMvsi2cfzJ0UipWdcGqTdrGTWgfuyiJHOnFvKCgJ5SW648oYfKyCuYpxgkS
0X+Sdk793ArKI/b2LPnA0UKUJxf8A+6ixf+UiNmOVVaYmBc2RYFDifFYXWV0KLaO5gxDvcM4rl+X
3+FoJQqHoIjZQocyZoLqQUYwV2mcDhUoMu1AgJUZemOe4wyT01upCnkQbvKx1/4UcWedk8r6YUzG
ruF5uQrp8Ma5m5+rYUJwTDjgrDI94F/nGJuWASzHdnBqzCiN2EeJ4P51nl/SpI25Npxrwe4TtYin
QhbVMEdNiTNOI05mRu40xKL1GhwQE0f84CVt2g6mHajlAD8Op3cDluSETjDOPM5H9//z9mXLceNa
tl+ECM4gXklmpkZbkiVZ8gvCI8EJJAiQBPj1vei+EcdK6Srb1bfuwzlRES4XEiCwsbH3GmoRJpm3
kL0fz2cA6bsTo701rRRICZYCIEtxzF9Oa7I6sd3cDxk1Mb9sZqfOB0TR4u8XL0XBI0IOhDzyuLBN
WzqCXomIWOtuvOon0YEWFVYnyrFvzAXLhkcUIiI+1PHKNRLMU1aJLU+l4kO7sCj3q1j8bakI+B8g
XVGLCvG2AeH05Yql60wM2fZ+U4XddedsUAxcpidi7utKxzYM8EExRS8FL7dtsn9Eji5Z+9jraJ/V
E6+uiEvDva9aUB1iliXe/CFd4jtgAflOCcovUe++SNgwnLhftq//4pGBH+HHPlBtMaot6XEiAPj4
xEzZIhFI5sDfGSu0vIls7M1X8bQsYW4X1lbn4wxw7omN+cYxwGsAWKwgTGKkWVsM/2P+pBexN3Ug
2LmuDhvA0xNXLEN1FUagBE2a4///eo/i8oHyUQpKOxb9KKZNAbXd6iGKREKApKfDcU+79dRJeH31
+PikqJBhB/3Wg3k5LdScSztSfNZEVGXeprQ/d3Kl5xFn4sQWer2CGCoFDR9vbwok7NFGRaxMvDHG
CvZNXJHC9Rt/3AN25IHpMP4hlm7hJ875tkYv9wtKVUG0VRoRviKg5F58NNGo2JYq7LNBdqSImIof
1bSs39RE28L3ZfANZRB7OYiwP+vGQH95/xO+3q5+iAJKgJcOMklEtZfDd1J55bxMfea1Y1m0Cf3R
jvRLLFGgUkx22RSdyipfh5xtRDxa0U1DlTU8OqV6qeoq8NVG1QnwaFXTdIajIk98yVcPDuYD2x7i
hsP+xN2z/fkfZyGoDVBwvelBpSLjmqeyAn51dV1UjAOPblQzrxWYjwI1I9q2+tQd8caejb2NT4Ic
ENWjY/zguA60kWhvZ6Tlah+XjTM547647/UY1ieO4RuBD60SPJUpqv5b9DuaLMhSTbQYDwc/0TeI
i829z1lTzNHY+kWkRfypCTs8lS1ftNkHoAfRjGitHsQYyeHEe+uNlUc/FhhNaGwB3338aghaaLWt
akGwVwLHdZ7MtyVBPi89y7LW8eZap4++KsVfX2VYBLTRUTkDXhNQ9pdf3OtYG6sBOzl2UQvaVQle
w4HNfqVPLPdb3xYPL2BQQQ0AQ2D78z+2VidlzYE8BeVeT/xhdnVId85n/NJU0UQP75/PtwZjKFuh
AsmAkP4NovhjMBMFgSCm6bMVlfWLwe+nD4ukpJiTfrl/f6g3gh9ESTAMGoqg6B13+XwexY5KzAsy
HvxHbXz3kBo6HxrZtmdoaIrP74/3xtRQowfqGFQOAMyPYSdtRKpucj3iek/Tggg0MMexREcdf+fv
P1m6qaDE29RQLT7aG1XSDaU2NXjPLhrLLLLTxNH2k+G5H0jUAt+f2BsxNUVOBR7FxsFCwfHlBgGA
PWnLicjM7zqQKHqh64woNP5ynurgh3Hj7B0U7poTL6e3xkW5EUOCXQEwyfF1bBa/hVwNxl02QQY7
VdGHwKHROIJE+LCAn3cFbhc5kdy98RkBUEAKQJF84R+OjsNM56gzpESoM6gScIlTPjSqzynVyYnQ
8sYOTRHnYgCzUTUGKP3lwq7hMtF56XrwUdc1byGVcnDJnJ5NI6+LRZbkRKHlranhWb21T1AvxmPx
5XhqoaWyKZNocUbJeUBWUB2hR3C3plV7YoduO/AoDUiRRaHXQAGnxwX5cqgoUYEpHZeZV1bth2hE
+aiOYrF/f2e+OQru3TiI0Q1kvy+SP6IJCCpNB72dPlM1tAUU99JLQcTy17UwUEYSVCRSFHHjgAYv
5wIOOQqlDloaCjx6mgOJ3rqzqEZfrXCbbsKJEPnWrkCFanvHIKmI0qOl87w1AVcXcQsM40+zWW+7
Xi1Zgnwqo6pWJz7UW6OhxrdBqDZVouNe3iB1nYTgxmSjU+WFrMZwr5uSnnvWDpfrsk4nZvfGJ0NE
RiWaQVQKrdPjYh8NwN0HKQBs1GFAXxZ05bkoe5+fyiLe2OwYYiuMoUYLkun2Q/7YG3aIfAFhJLzW
55l2RQfsQEEbSN2A983HT+9vxDdWEYuI1iRACgx826PBuPWtBNdMZgkTsSzwcyBpNEbQ9uEEhVxU
/iPx99ERNzaqpchJkHIfX9trn3YQWwpkVs8VzxtSFlHAK1RqY7KL+Ggza/2leH+ab60pkmrQVkEp
RZ1pW4Y/1lSYmgxgByPH1O1FgG7iru1CKG5EwakC+6mRtrvhj5GSAbAwoIJkNkymms8Rqk27k66Z
h7xqBnzK9yf2xlXDIEmCgjdyE9wpRxPrzJi2QvsS+j6rOUDThtysCWeFirXaEcvcBVUV//wPBgXl
8zcECa+lo0HHji1+lYYy0wsWsQIU5KFzyYNI5Lj3EhXuFy2iE2O+8TxD4EdWDXwqYAubxO+f66rT
tdd1OG50XOVnpZAXbLDtZ8dFDXnksPsSd95YxMQbz4PFdieCzetceusKIYQiowbv6vjwe+D9WWh5
yGyi1r+dAumyVozlV8LVdL2mhO80V/qaDPrEzbedv5fX0bZdcVKQR6OgcHwdSROxyqA+mfEAwCG0
NMpdHdbB7fsf9HUUwKuToqAMWBnqaMf360zlVFWBQMGGT+JLuYJnWxhoT8t9xG3/xUxx+fX9EV8v
6PbORUmNJrgD4+O4I0xHhDcig+hMBSK7qmR8w6a1gToW2ir7OJQxJBdKb874wOtTqIW3Rv+dxftx
RLc8++VmmknvVX6ENNQbBshOUYKDidp9L5acLW0FhQ3J16UYrDc00Igh/s/3Z/86SIS4Q8DTQ1sC
VOPfDKA/gwQ6EkiTESQC24Tn+N/XZoiWQyDSdP/XI6FEisoQWjm/C+wvZ4q3Q8DWFrek5IzKQq7p
4jLWoKe/T+bYiRPh6PUpDbGPAJjd4G4IDEcLq2vS1NZoXCdBq37gAimapW4Kv+GowBnZH8rOqedh
ocOhdmH0+P5kXx8WjI5SOqDIHkTy0qN8x0xJ0kwaowM5Vl9Cf8/L4loGf30kt1HAxUXii9s5OUoE
cEJSoLQhDIDSNruoXfRhTi05/wdTgewBTj3QnpCce/ndNLB+0L7CIMmyDjcApXOHJrQ3n8KCvXHy
UdyGPGZAIZT5qp2E/mncLRJSESWY/gVToDoyvyvPgfezF2lqyF+npADzeFuzg4JJ+goRpsvA9Wr7
RITU4a6d0/ZDjLrXrittdPP+Er61F4G89P67YAlc+ssl7KCbg/eWw51PF33u1SrKUUzoisAt7fmg
R+9Cod9+G4/18Awe3HDiKLwRY5DGYUlRdQIg/hgbHLfNDOgHkm9uSxKAvc/UTZS2FHVMS8f7ICDx
nEFCTN1DP8ONJyb/Oi9AhgUKK5o9qIBDr+Tl5HuyDkGM8kvmr733jI9RJZkMcBjzSZStBtSxae4g
FRr/g4CDgYEvwEdG2Dmu/Zuq0qqc8QhwvtI5wS88n9NVPPl0ak7krkfHfRNWBaIH+gU4iR6+8/bn
f0RRPgvZschVhbfouPDTVh/8fq5PRNDjot7/GSZFPIOkAIL20T6CYi4EocKwKmr0KAxrp2IuVyhI
eTXJVaK9D+gnyosmJDfccrtX6HbeQnXqL7fzq59xFBGiAeqrSG6rTdWmy2xMxwMSw+XQ0y6EFMa6
65PQZDjNKLwBzLh7/zAd3Vi/RwfAD4gVH5VUVHBervXYV31VUygxpWU5XcQqcTuvnOZ9X82n2gxv
fdY/h9rO9R+fNVlD6uJuroqJsWpnwjYtAqv7E5/1KPD9ntCfQkNHB+Q/QkO8Guly4QEFy3PthmY8
Dx0EcT/RwfC/zOa2QV+oBx0lsf9QPeiNqb0QDzoa5Vg8aPLbsDkzIXSRzkDX1+AA/Q/EgY4Czu+p
oXW5IbVQS8Rj5OVX6znlonJRVXTWqzkawMNUrTld9eKPWWOpZblJxbwcykmh2/7+7ny1ZV5qBR1D
4P8draBjuM//S62gV8cPBfw/pYKOQt1/pIJ8rxf+TRAPs3qsjAmgeAWMizYnulFvjfenus/RGfw3
1X2OpvZvqvsc7dH/z+o+x8nxv67uc/QR/x11n+AoHf7fqvu8Cm5H4j5Hwe0/4j4IYh40fododJXI
RQzdGogEy8gFcudMW0X7v40xqAr/R4YnPFrNf0eG5+hWel+G5/8qxPA6XIIA4SWowOElg1z8aA1r
yAqUS83qIgjQ9Ykhor0jkCE9/9sFwyhbjQgtURSmjktTug8XMaSkLoYoQGYGyuu+8vQptafXkSpB
GwlPXFA00XFNtj//I1tAqZ67UKV1QWYHYXbh4XqDeOaZ5WjWvz+hV1fchmhCThXi8QKy0PEVN/Yb
y7aqmkKBKvZ9babuPo5LtVc1VKw1FH8vShRRs/cHfWt+QEKE6N8CFgDq68v5jSsWuFRYxboSCi1j
QNl1ICl00f3lxC361lDgV6Bdj/cK6iJH2yJuxVyB+oUOzhqaj4Pou7yfU/85AsDwrw/Txt4DBgkV
9a2sd7TPvVVVbpjSpoB0XX9guv01hskp6MHr74X9sJkaocS07ZGjnFWHPpSDwGzFBqTuYYIeZrGS
SFyB96qvPTG013Il46ne2OvD9XLUozjBEwcdT8GrIvTn9WweKnPo9Rycvb8tjl6Xm1YblCGBnwVC
BqjJ47ogZJGrRhE8Skg6VTddM62Zo1bmXTQEl76ANUBWLRwKwMLwr+8P/dYEUSLEyxZCo6iBHE0Q
WmcDIdbiPZQktkimoLlqjHeqkvTmKChqo7uPai9oZC/3fVxPQDzxuCpoMM/7cOgbYMigt/r+XF5v
ebxpEAjDTTkLvbijR1VPvU5CPnZTwF/5dOiXQQf7tR6b7kx1gTEnQuK2rf+o5v7+apgT0APQ9Ezx
mnw5qbmE8rRao7rgq4oOEIFfb2UMdbl63GpVbJrZiW3yxhFA1Q8QnK1uDtjw0bcSJorITJe6SCm0
BI3x0bOipE/P8FAx+xm48quZat3t/npZEY8BusGoCe7Mo49nCKQVfTXXRYnLZx/Lej3n1YSSbo/H
/CnS/BuLCh5DgpYcDh40WY8WlUnPUVaqutDGlHCUAM4hzIE+SJO8SpgWZ03UV91fh2UUGqHbtV1w
kAlLj2JLRJdF62mCEjKaoTlqS/w+WUx4tob9/P39xXzjJKBxhWOOQjHauccIKjNRdAHE3BXA0dN8
9uc4b1f2458Mgko06hyggrHjgOwPJfB8UHYGAHrZCelBsX9h64kb9NVxQ/kE1xj6fqjZbEDXl/vf
QugVzcW6L8AtV7ctyu6Fp8flIJyffH5/Qq8CJPZ7vDXEQLcFnecY3SZHCNkDXK2Kuo/Dew5kFj+v
VgeSa9Hz0WOQXFdLKiBlPKjmS71MLDyxRdBCffXpAJEAVBLylxsSBCy7l/NF37oB6bNROxd7DXjg
ZA3boL2Z21WXDWTgIw1x7aTq1pZl4E9quBJ4aeclTe6jdcfVjlWe3/mf1i504mvVAIsRnS9tOpBH
QSUqFJ+5a2pZn1ECleofsqsJT3NSeZzUWdXMsql33lJ6PMyFk7PyCjOj3VsfDKvH8H62AyPQpxdi
2f59sarwWVHRmV++8Ybl8xqsSfhh7OjY/VBNZKY8mFzl72rI36s6q31TdxdwA6ouPFonNZpj9eye
rJAGDXI5lWNN90FUySl3UJlfWIYOG6TAvXZTS6hD0aaPKO9AGz4Bl9L7Ad35iD00kPiAhmYPWpQv
c6xMR4u5hVmKxI/vLb8YxrozOTq3cvnkO5KALtlD3p8XHZrkTV47w8YHG4Vj/XHsYxKetYxxFAgx
lz5+Vq2bwrUI1WJpfDaqtVzDnZlrS0zewrMkomej0GQ5mA5Qq0yDt2vFzndVCjLtfxsROTdwOJoI
Hrq7flp9+aMdZBJUh9/mPwravYiy7dgP5APwsj3/YCq2Auw8+TB2EPGs8VMTIEue/Kn0QGoNVynX
T0MyANPKSkhH7Kz2lMknGrf1rd50aLqChGRin2PuqP4yTGMrphxChnL6pPsaRddslnU7CgjVcuaf
iTAw9i6prGkg5lmuk0K/svbg4ZK1wTitnxNL2/KhitNZkT0UBJa5PYdDziRuqZiGec5Am0mj2wWy
5e0Cm59ycXW+dWWRY1cusf3nkYKxj3eXHJh5XF24cAsbkHglt6kOy/Z7hBs7KPOOkLSEy9Ey1kGK
jr8XT5/6RHjxz2Bdo7JBUVpD+T0X5UxrkVfpPPqQnp9UP5qiZD2sEzKDg8zua+46YNanIUnXgytj
KZ/TuPHqJgNeAm5E0EyZ6PIFsXIOvMxMUbPeqCkFDPIAQxsHs6yglmNc5k1pwgmeJeka8J96lEGM
rcwTDdoCcc73ntLIrRqc9ciu45yXNVHueRBs9S+WAI4sD5Ecp/JTyLiR92C32raIGSdLDlrESrPU
M1wWcw8bmusOkk4g/KMYvz62BOgRU/RTgsHHRdEr5+okejR1CsOJlPeIQDlgdxquGqAS+SU5U65F
5zWDf4hzzzLqcFD3necg05DBEmMFRETC/2X0LsMx6AaWby1w5hXCEKHnnSdSaIhnawBR/OByImBy
styfu2n9EQuCLlYBoXyggDIfblh9tAdESKZgzPlkdX5We6tcnoGwJHWZgVXO5VUQlAQoVej8AJac
uT4tm6+xGu1Q5bT0Vu8uEQPEE8DacRzWSiv8FwCvQICNp+9d7WohIEdfsnHKNzyE1hfUb1VkPjSb
d854PppWDNNhtKAG63zGo4AmxRAmPL6SYZ10E7SLKiHFuUG0roGR9pkZshAaNnEeRIQMTV5NSzoE
52vYIXw98DZ203Qnm1A1bKclo4v/MPIebx9kd/B+q7eeJKHXFnYR9jIFaEgHuwEGTku2MDf5O60d
ZIEKRpZ6vOlq5dSZgp5HBQ3gzvRNncGnc2E/0i5Az2Nvapf8MkO10Evfg7fPF7jf6P4eovyeAuoP
YCUAD0Ek7X8EIWJyFszIFvLFVvN86SVQLrx3eCBPj57px/bQtmUSXOoUelQ5wpf3jZoOAkfV5Ibz
ka/tYYk5DMnUoko/S0rYKyU8EB8ZmAf7oGXNR/TVBvR7Osp0fJ9WcdfsICY92iBD07sXH5MBxh6Q
GQ9VRJ6CELXv75hTFT6ZpNYoC0yEsAN+FloOvmgmlwOH0IYHwK299lI7yeMiWZCm503NAvUUTkFK
vIx0nRquSNyw9i5oqlZd+biB+Y2KKli5IN4NT2vkO/FYSqb4d7pWaXdbNySltwbGUuwJWCDV73UP
A4dC+MPsDshVYRUxWwnQ6E6Rjv/smfbHG8BWq25vy8qyb9iym5kb9wF3uR2TQMofjEd1AmLhiHXY
9es8hj+raEZ1OiP9GGBXY4949jYOO7SniHQm+STdqtYLQeoI1P7I8rZ55GVqPHkWLTrRdO/FY2n9
M4uHAocpzpLW4685dYv3c24iBbMsYfxogluLgY3Ft2C08FwAgx4mP2sBhsas2xxKSGVp4agmqhhc
jV5sqNRRhMrqPHFSyZ906uAfkvWp0mDLijIw7KuKam94hDdQVyFj6LHRRQZkGAyz8qZ3cMzJJn/q
jEQgTe14SNO5BQcdgC91XZF4CTMAZSAZlPYW8RzQAz09d8CFwi8qsTDXCmq/8fMGOBBgLP2eoJFk
+wqwIq+povTRlmicPvKFdD9KOdQpupnt3EDrffBhLwbieB5iL4Y5VeXYfdfTmt4B4IUbm3WesLeJ
XOxZifPFrxoRCpkj+qin1EfjFxfs3DxrgHruWtfDE7CKTXcGw6nwdliW5BbE09L8vhaey9QfLXiO
OrmQixLTJ2QKKQTnRcy6g1ohbnGAoAk3O4/yyOZhz8b4bIXFFlqwqe4ee5/iY7mVnI+j8/wCyufC
y8QAxYMcQDzIEcSqbet9ncT8Cq8buBkOXbt+rQju7/PBBLDNGIReAMGGycRuVH6zT2CoF+0jT5YH
PD6gGjK4ZvAAauNKFEMnew8Od01fjOjcTYcF19tzCCxmC8cQ3DF53Mz4KJVroQw0A9VqcjcuU3Ou
q5m6LJpTYMegFsfgoVfZZS4qR7S9KCF74bK6lvSs6UZjIVmzpH7hEVxDmb8NlU990ADz4U88yke/
T0gR2sD6ANmV4g7hLvgMPxg5Z4Fj+iGCedsDfAn5L4HOzq0/Qv4EK0KItxdVDyiQR0cP56Gv2ZKx
VCNZhXDMkFwNHD4nt32/Sn0IIl0P57YHR2c/hSawDw2Y5qqIFCVVVsd6QRuox9ZMNOuiHXcpDLZq
/J2P23eAzr1r+jk3nAdBjhylp0W0IhcBLtHBWAY/sYPfi5yCr2yJu8sy7GEyB2QznP3AyjHhoSKr
Aqt8reovPT5NlVdLS/YhmN8xfq0EpCiOBwnYX9cEOR47cAGMWvwjgPjIwcsmlSILa798HJu65mdR
yZcgo8hUAMGoU9bnzG+Hj02bpGJPgxqaNkxPidmHvfbQ0mdrw7J+1b3LxQxkb0ZiX0Q4+p0X79ap
G+4Wqrv4U9eUtZ8vCalN1lkKP49GKGuvY1oOoFqXIStzWS7UL3p8z+GDWr3grIf7XHzeh63l+Esk
QnZJJx9mEWAGwdmPGgQzDe+0di+7mXwMAK3qv/l94zKSImZmKrETnPFKhf9s2FDW7GY2I+NLaBWX
QIpLegl7OBodkOOmZIKxpmx+Nmtol58QyddPXTvgPqlFVYWF1IyNe7OWHubia3gcRqB5ZHIB3OOC
2zF+DGKn0wvJwQPIBczH7lZaSg8ukMpe2pkjuZyXBUnevA4sKGCeV9ocwlMMsovCVjdOBcEXHTFx
VbV9B0MXLyzhEJayusolnxEY4XYRPYyB576QvuEsg/tT5d8Fk4FkQQyIQ/fUjHDBqopGwynsA44l
nJmAh8fNl/DKIzcCee39OhFIu3h9UF32fgzjth7K30j4mx6OT2Up0vAMnwrWfOskFo2tKtndDLpJ
DW/ECnZpJXrU4qyCN1aybwDVgf8daEx0zw1HOXglvBOZ6K3/FC1kA0SBzVnvUYTUOxbOQINyK/hh
DWYPOkRxWXYHgnx6+CxgTpkNKW2qXJcTYhc6G7TpsgUUye4M9jv9DWpvQVvAHWL2zxU1PhhiBG8W
nK+kIvMBAue2PpNROg6XyFXwamvwWWrI+zH8d7x6inWhbQQ6PAgs4jPa+t3PwF/LH2Lolx+QfxFf
4TfUXskY2Lx9iFf6zVpPzb3kpLWFhw31BLsdTx+8JpT3Y0M8xMzOX8M9tUmLpMDjjBQxEorwkPjW
b87DttP36LPH5ZrjvY/X22pkeDeCY+d2YCANheB1gruA4NbKAeOFPhZvo7RCMijxQJ3bMLlBVx7i
FCvITGwPjL437gkdqX2A+WfanJuoQTpsZo/u1nbGPZTpSoZmN0CvrsoSQsRzXYI5nwG05nX39eQW
Xcyb58oBobi/BoiCg+IbwswxoxNLsmitoRUAIAX75Y2B/eUZwn7pKMbLdq45PBcnb4phSZJq3GcA
2LUV3iFdsOMxnufAvWyCkdbv1Ndl2YyUShF2TabZGn5HswRvIAPvJ6TIZHyAq2T/rZOOhBch2OkH
30vSKkc5e1TQ4kAVeA/mCmxp65gDeyKE8h/nns84Lv1afknksHxI1oh/ZcaR2ykMpltG2NIcBmQ8
gE+aGKxi2kGJZ1fVtYIrX6erHfNtyjN4MrrrRbXW27cRrM8oJEmbLIaf7/c6hE4ClF5kmBTcBvTQ
euPsoXBTrl+1F82gyg9waD2bGx1+W+AHRcHpcf3XAcFj3dEpra+DOvB+BVO3fJgJ6uD7UOnkK8wI
63sRQyUDlMZWX0wJnDJxbCfEdweMzwzvxZi6Qi1V98sqj3yT2tYB4ptznyqY/U6Z7tdWfKwrFcEU
pZvlT7/Vo8sXx5pm50jUtkButptTsR1GPBCc+lUmEf/iwqG8nXCF3yStMM/CxGmXzVi171SZ8dJ2
ykeuL/HNM2iwWD9vG4I8sG3FRtuNNGALHkxs4UUgxPSBjXiGZ7VtDF5VTmzPhDSubvwAhiH7wati
VORhvWr3s3YzXFlVFdMDbEn858Q0cQJ9Ek0+RmOM4x6AdklRqMIbvrCgtcMrlFoYjdRwHUrRbSIO
FmChBYWjsba/WME7jvZLgIf9LlAGbU8TGXOgNdY6g+OugYnnFExlNmmKTcbnKPrIVSoegbxo75dg
Qh0ID79JZ+HAlJdxKDAkWZek9q5py/jn3LP2etGVLi+sIGG0YymSmP1ou9TkzbR1VDzul+e+oq3Z
W8vYPe70HkZvcSUvazC8zfnYt8mXfg7Jta3JGu/9VIjPJRLW6YKWI7sTjDsL7mMDjgFqLDHPnVBq
l/qWNmfKj2Sdl9EQ/UhVaAECkry9jNZxfYyWaTD5GOtEQvLIkSVz+DKHDq3IZT/PYn3ipXX2CtEi
7vYsaIJdF6VmyRUgE0hnhxKPO47JY3Ucc094dIf3cROWn5oRRN+sMioOspIgByiCxnm/2qruLkH3
20I4qlfJfpyrgeZg0ZgbatwM8V5oO2AB1iXJV9CyPkLXLbQwIF0Tmc0pSdSuRNoe56SNvPN4XjBN
BhIEtCC7hdIM5zn6jg4ff/CGSH+OAKf/gjaBuyzbqba5ES37nC5z/wOVwPZmnIbuWx2v4XmPaY45
VL3w/LXoEkEtA5h/4OAWxs9DCdcojDs57CjCzbLjHjxGMz+CyW+OHH5BHSSI9V0LcQ889gN4HiF6
Upjh4pW6ZBDyrf3LwZH4y+x0fE2TevzaVk30OYRBn8jgwGa+NRrKU5ltUf/MddcnHcJe3cJ8bdLp
V3SYkSRPgpVXa6wszIqxiNcw8/AqUKvsdDVMJZIUz5/8wnHa9qB1KZJkDu+OZwIPuOe0SiL87mAA
JSRRfn+I4HjdZG4eLZ5AoJXi8b9WvTrwjizXPN2MQRK0YuEqKAIKJ0/Y0007ZE0OhnV6rZ8A0+c3
wZQsc9bhfbTmXbllbSqa+zN4bs7Qwh0S2sPmGoT9i3R049dgdtF9srIIsZus8raXJv0cw+7UnbOm
bO4HU/ffYXS+XkM+onf7KqkY7GChgvHkWRRSswA3MMj/lfLv2lniCuAC0pkIsQm9tdKjn6dwwFMO
KOLoUcwzro6ld2D9JGNj2wvj1eFlq/FIRu4b9lMRSp88VWkPaTq8GTgepGkEMSeNrOWqW2FQnw1R
q+YMRzz5RsjSljuhFogf1XgR523ZNB9liPcE6kDoKR9axeurcYVQwoET5p+nuqE/yy6CdS9lyGLa
GSmGb1J7j8oyVQVgyHzJbUpSUaTxAAB9i4IY5DLBm7+u0Gz6vrSGJXtj+mAfJzMyemnqtcqDcdTP
nlrYTQJwH7D2EpIkWRN37Zgz6D9eopXZxxkab9WnsmvMkA9GBi1EWWfkXimEo8LMhGX3aWKEwpR8
GcI1N5FvryJYWjJchaa6S6HES7NuMBXdh+nk7/GNhxWZG6jOXaDJM6zDQHcH6T3QMBOP9VULdtxy
1qBLdE/JMooLKEfichRIq2FZ61tyxoRn54NXDpQWY5yCpR6XCDIRimUX3G/Xj9q0iu1WK5pLJ90Y
4wEWuzBjxOmP1ZLgVpO0RBuznUZ5VlE0inYrLA6fYj6sXxWznirwDZuryZrAL9iisbnbhnefDazo
v7Gujco8QYbyHU0Gd13TxYgCb2b5wVhH2hsPUgymhP0jisCF7UMDZx4Op+VnP3SwXkcEiKYPEQ/K
pEhlqty3ZiWezmRjcApIavAVPKTqeBnqsAkPGwAAFOdqZN+TuBrlTo16XZ4XPvmfUjQOz9zswb2y
W+fpCQaE7Hs39a3Yp76UjxBPjz5PPanHfAlJ9+xVuHUzDy/uh5XUDMJLCev3/phgl7JkWtod0RNL
d3biQ3U2otat4dUd+etV2TLkLCuexZ+SSKO86NsAygCwwY3aohoauLRDrrS3uzSt4TsNCFL3qbEQ
ToB8+ipJZkdhn00EJ/MioL6kuw7+tGXRzwpD21RRXXirs9f/xdmZNceJbEH4F1UEBcX2CnS39s2y
bPmFkLywQ7Evv/5+PU+jtkKKuTER8zJj00BRdU5mnkyK55Zedi3XljRPqt0d0/lVBaam2xcCeR0v
+VluR0hhNdr23suF5+1M7HooNmbSo8Mts2uQKXccjFCsy9ZwqOhOhw2c9h9zdQ2sf3kPmXlm+7P+
0cYjTqexO7ZWCMZMW7O61gjSI5xGX/TKFCRMcyCBDmGuB0rc6bQK622z78Z8Lq4mQ8x1tAwzrVCy
4TIbpkuHkXzaDXremyY1BgqYBBlwpSsSBHOG+x7ybjQN/vepuZFWTt225ptR7TdQXxU6debcE+uI
qmRZRw3iVlTuDbZ0lhsM2hl/MRC/jAFgiKEjh9eso6oTKYCV9pO7acUYJwAoKYzDhGp3juwFh05w
aBJfWTqmui7juH+AVKno7demlsftu3wh7pd02xarJv54RjUdiFhOjyZRqbe6WoblgFw/v+tJbjcj
G4+I+4G89RFP7wHX99qZTegqmY5UAkZvSrEffSCjpyrNEzQeeTLJsGnqbLsuVEGrZnMMVoE3kDa/
05vAvFOU21xeZp0nzzqthykg9Dl+TFlVA8qa0kvBKlSTsBlnfFAZWpkkWEhdoxF17OQwJpa3RZgT
a6jMOB+SwMN4PA6dMV5eVF0OxiGlSz0HU7VuG3d2/qSWr0b2rWRYw54F5AZ2WW7GvtjIrI262Jwe
ibutRCBltvZ4Y6iSzNk0c6tQVxrB94o31uIhurC2GZiXXIHiZsZDzQ7haeeWan/2riGJuq8x+XcG
hD9QCH62M2HAnhwgArK53US4xj36UZlxNpVSla8izTZASTJqH2MYer2rXOGvoaA/uPOXnMqJ6aIu
DQyj38CZ17I4jy2Tud5hgZYJbJwZ6silcu3CEY6v4k0S+rxzF2V3oZ1r9cXvJH01wczFA5SPBMJo
5UghNI4kuRcenNTqDvpuzCh5Izy5i/OqSKkxpkRMbTSRM/9qxqtRUu/N+iovqlKem0MsHrtNWfdo
f7cqsIfYB2E16q7bVbB911tjA4CliT18/YdkCPzJ17/NsVtuRR0PTyJu2nLnd23+27YKjlM9Ldvr
vIru1lrr9HdL7mxPc2DFt5q4e7aguDGfplLh2TuBPp25ZmP+jEe2PG6VNQYvuo3RuNTdD2IGAea3
bcJxa/TSkpFkrFzwayMAmXNO3cKg9Q+0qpsOrcRevyOSFj9qmAkOMj9d+oBgZZFf41gKn5QM7fRF
r166ovffiD7Qptv97gw8W6jWnd8CI0cjpBn1bkxzzkF6u6X/KpaKyjodRuO6zI87zZKm8X3N8TmE
8yCnS8gRpm8JPXVFEGe9dK4Xe1MO1ExV3i9ypd7lkvWtuQgHa8OJ885zJzarznWMh9ar8/ayj11z
gWCqJjtK3BKYEhttzzwbW4VVlo3Dih0Nsl7/8ISOmxWlZhFq4NQnOaeApcVItxXYCtgjwZrEPuMQ
lODaVQwRbm5Vc18cnQb2fm2uV2x7hPwWeBCtgeOJ5k8sKqXCeklbWuHJah7yxe/nEL486/e+qjF9
MZdM3neUIEbooPK56yn/O7YDL4V8YnxkZDJ+MTqK7GTBAT6u9BQU7HWMJ02Zu54rJgJ/e3aeq6CS
I0nDLJL1+zTm4jGReZcF69p1L3URg9ZOhMkVwbhM+s7BnvRnx8lzC9Is7/Dsbcy7Fi18DGRXFcRv
HBniJa9l9y0G+TMOORHVd5Uh++oydoZtC1o+L2fPMCL8H5HUmB4f/YZ3Vd9Ty1te5meoeXqRhQRo
pq91ATbLEGVHQyu6ooAm0kV6ZzINO+66Yep2SdxD8S9I+Xi+q0lR0ZWGc1/Iomh51Am1QoMa9NUo
IKZ3dc9WHK75MbLbawz3z2AZ64Nax6m/1J7DkbMycyNDd7KXF3BwV4UY+KuDg/Vtep4ponSPxxye
mFo3FuVfk4DbYUNjxiGw7vY9Xyb5vBalJ4PJLMQlQ+/Nb8edAZ4xesZwNYcC/jaW7uQGRLzD4duJ
255XveBvrrqppaRVbmmHbeHZf+A9bNgOVARHsrhi5qpWPW0WxvHGT7ATYPGaTW0KC+hD82rtKuNr
KVRr7kjbtrNwzkrviCPHkPFuCv4b4SXXPBSztb4uKLmeuSFSWmg2ynrnMh3ihKqd+uEw459+AeBj
zEHDEvpCtVSXUWLFwggbbxPWYZWD9WzYdfaESjX9MYLNPmPnKdMDPHX11OaZ/bvbmnQJKHoMMH+4
uVfdtOp68b127nb25MufxMLqLTDjHBMA0ihUcW4U5fytJr7LvjDTOu6iATUIC5nBzj98j0sLetjC
E2dTuVLiobxpd04hUr3ru0xd9rhNQDcttfodWxVIgGy8OEq72Zn3brahJsxG2xB0DI3ok+vEzivu
GWZAhAvrdd0342iVYcW7u6hlY8AlM5D5u9DzcK/rjaJWxH1shytwtbWza3vJQ22UlnG5xWUXBxgT
2c/CXGCE6sQzh31OA/vgFkLq0LeFWM+zLjUfkcPiDGDIlNrAbfBwaQYJOpMc64AgiWN9W9aWLtnc
5/qL6KDHOKVJ/Ag2qd17o3emZD+LofrhaqqjMKsBq4NSJDbnmVnqx6Fd7F94EIPP1MXYuEE31MQs
fFc4Gcpra13N7aroVCYCq4hBm6bEdm/R6uoi8jiHN6h2r2VTEvbIeN2EO8Q+IcClPMRl6+aXJtsH
yHPaDnJHVmX2mBfJCtxjzyLbNeiSFHCeCaysB4dI+HVEPSyLrXhirsupggo/i4Q/3m2RU5vbEHBE
wnGMnDS/e0x0VQTjIy+cuYoLPCx958IpPLEA6M/Ll5RH+aS3jSHjJfezJhQFe184pSYB9qJuWr0H
Ekru+vToz1HOjnwSRjp+I82Zz68eYwQoa6WXPkqV16swERophoo987zP+f5e0AmwQSq3hugyLTbb
gjKLj7M2Ox3IDIgBcxPEkfgm9jSxmdMOZANV0jqUA75vnAZuvFMLTUSgitXf19Mg8it7nWMn8BZj
yYJkwpkoLGsA1TNvdezf2m7TbzVbSspDcMfzRlISRR4aKPWwFeV4tSqjya6ozpyrWRtufbCnespC
264Q1VA5gNZIOckuqiZTAMBsCYsnte3meVpHbqS1suSeLODy20JPQBy4aDA42Dwdfy28RK9MU26u
GwL8QwNA9XaXWlOm7Csw9SIki7sbGZ+1uhs5zs1PUQo7u1xMxz5j+nr86UylvTPMdGxvgO7hvAaG
Ilc2pdb5409V9muFW/1dgr4+Ke0gnYg1jj6hVSRUb0NLaR5lk1a3A3IPFGJwsPgoTesC5TCpIlxN
bMgx3Zy7Fzdv2ATHFLSck2RwuzAvsp5XMbss/cHTtQrqtFdPPtKjl7SUy5PRut4YVGa9vNSYRMso
TydxTz2xoVBp+fGuV31VauyeiqUx/IC9WubhaqE7QTmmOoqWNdEZlkdOvdG7bf0QZBjAADXgIA/M
pd3OC+S4qBdbDuqrZbjjvRI0qEHvTf1P00hq6hGaIB3F0JrnFTdISReP1mVGSeqEZTb1DZoVfKsx
+7Qwpp00Igs+/UofOAvTV1fN9oC99LpZ+Dy1mRMpYbtZFPMAZYgs1+VbjVkHYWZaGbJlPMPgzzWC
reC4JzMtywtWQUes1FXtAXfCyBX6CYOp8lexTF2DCn8rb+uSynO3TomG1oLerSI/n9SyX3Jo7XZx
qjZc3UJxZzFTorst5oCBG/eWH7owihcaAua4s0psj6ZcDaZWRDs/qmTNH8x1koBGcoaF4/hodIhe
A2a69Ibmdhri9qZSpvW1q+n074GdLBW2KK9+rEzWPSfNWn3pnYISGwV4jiYsi62n1F4bJvDXzLoR
0NzpWVMn7Us6NUcFIj1IEczYuA2H0agLEUyjz3kh1jGHToJMfHQcRC15is1lMLf18Hti4OKHQwua
UG9YfJ8WRQLVBByXv2ucORvCtt+Sr3KQiIk0jM4xVSOFrrCbmeecVdhPB+NoyvvFmpf7inAyDXSp
8hcUdTQh6zD9WlAWV0HaH1dx36usOdt0UX9vIIRZ0H65ZKEAGDACuIPUDwCdgKI2p0iv00HXbtgp
s+McnvlD+zZVY0q8Rwo4XhpiLc9UFSMc6pNluE/6GIlFfhTaB0rN6YoebRTf6c3LW8sG6ubJ5+JW
d0NyxzgN5rmxrNW5KQcw4O4oUeKDs20MIotm9CIXUO0JUFE/G8ls2jvXKMFlpy6TN2gmaydkrgTg
in7NgZXOpbuG7LOINyi96vt1JCImEq3FC08HqOSIT4ApjwTF3neRWnqJrHQ1zmYB/c4eniwvnrbj
R5sqhufkiPFVWhssPw6eGTEz0l5p1MWcPsk4s+MLLFnn27rFMWbPp8DGhjSPs7KxyUKGgZ3ahMrd
6sCbKu1wVKxNdyUUe0vgDslQREOp2i0QzhrfMm8xPUymN7xOalDdmcQz5LIuoeKp3JoYWlLZL+B4
M9uf2yVnjcWEPVhs1hyMuUXZsyihL7nVHmmDa6ZpuOI19jtj/XAFPNz3vVE5f7RKS2cnuql+OW4P
dGlwHnh5U0mcu/FSYWsIX/rcerNk3iG1kpoTSnjAM2AUN2XHcAHyGCe+2dySRL8NIA4tQro1U+TH
TaIpiVR2sdk1CLaO0akDYKD+2LdiLW4Kv+HwrNpqNlk+nXVR2HBOeN4YTUkP5RQPxrDkP+dmc3+k
6MERZKaW8a3fWpoiu8R1Ry0papvENLYqTEYjpix3JusbqzC/Qor/c4n7sg2tWlPtuRn1ubt5Jo6Q
dWmc5aZGz7RskJxs2Hmb7nKPkj2YBJ1okEPXITbyZ/McUU7q7XC6I5vJqYX1UiOGY7eyOIbzejLO
0r7lkwD49+96U1t3GgS6juLZmp9bk1OTxafmV7MmbijIi9y5nHq0X0HtN9nTvEKXgUnN9jUz2DMr
HHFluhsR9nV4Q2lFN+8WsBhOJ40LXlyHVqNYxGPhLwlCtqMAsbFJHDpM7ZSx4cb1c2eznGerb25q
I1uss7zUxr4Wy6AObK5tEbpDM6QK1QSQIHFA4AnldFHU8J/yyCSiqfMCF8/R6Wzx7Qq+ocqcnh3I
BOwlKIVBB7zyobcnq+B74iXEHTqmwXYgPibvupgzEs16C3j8mqEy0IN6KRyXbJkOfS6wBGgF50Y6
7CbtltaepCAg7Xy0uu9Nbs6/55ozCEcuGOcoH9b2i+tLUV4h9M0uc3aLKnTnY1cFx8yPQC6TJYFL
7fUdH1JxydQiNLa7zfmLStX8G46Pq3ZFX/gRuFXp3XaqAhAm4XCjH8D/Fta19uzuG3Nw2r5M7Sb7
iuhgGCi4Jj0imckEmpGFUZYi7DQKrLMESK2/wsSnv54Qmo+hB9y1nZGQqLP0Fq51MR9RWGyvFF4T
evjFVXH/NCQFoyC7Dgsu91xA5b/g8j1/XxJrGQ9w8l4T+XTFaCxGgTsk/TXgduJu4tnHEg3bLs/x
b9Kx8FPUYKlHcd00X3pofIRVRma8CuQRdbRlhR3vEIf4SKNoTatI9WiEYLqPH4AaV8wKzdqb2tDj
THGosF2UZjB9/uPQtN79NlqzAVm5cZux0O0Bpe18vU39Bvy2sTNEECPjQ4JoeoQfkkULpukVTxn2
CFY0Nk2H6w8qQIrMolrBinubLaeTBU2/hzBEIhkbhgFdikgLKAbBsoG/xcax0Jsbn7VgyxkmRRS4
YWOYUIZQcLWzx3ZM482ElZq3B7kvOJssE2pOISPHM67baJfrbjIhrSyRfKF4nKddioPqBWYyEoTF
qIWgOe5ZvvNi4KrQ5tUaB8XK9g6PCOBzjis4zTSCExdt15bLF7swC4wta2w0cVudiiWqrEn9Srea
PVBkpNEEwqrAaP0cDXAwslk/dGVbfkWYaOkdXf3yNCVplZ4LCm+4jUxb925i4rC1SM2KHJx6kLCG
Ul7PFDcvbT55X7AL9hEfkVYU70p/Y6Rzs8zhpvMy80famK4d5flinG920ujbzm+6+3mtbQPthoeC
vTmW9lVsFV2ojBFVGBW50OhznP5bnZb0uTm2oGzyiDjjCGRc3bMdwCExY4Yk16pLIRC/ifGObWqb
Qisv0DjqHEejuf3nHFCDPwWN0QzXbI3wxOiI4u9MYpRnK86qS4TgAXoQmU/7vDIf10ctgrf2gtwU
40+y1J51MAQYXwhMIDlKDIcESTYX4e3kbNF+Yjw+/KoSs58pqIvkCY/d6X5Nu4kTRjvJSzus65/E
RWa3Lzq/ePU5pLudw4cFE9HmXosFTe6iC10pOUNWPGS3SgXfDVMMFH603sVPMPr6pdFuNgcSa/gn
WFwwmrkf1uummf0XvF9Q88AY2y0swJYjWbaE96vMq+01o7firmSJpm2s3EmFeZbbw5HOs6fQyNzy
R4a3K8E9cqu3SIHUwXpmx5mOfvIRi9bNViE+MQxefgJtd9HPqzkEhmvONt+BEikqozzpdp72kV1z
thCp5CVqS0II2faG5DFjjVzDMa7spCZsIJNz2RyoH4tvbcOuTBGH9Gg0NVs/gsfqJ3LT/I651gGd
YWZWYociPL4b2J/SkDJf0qZlzfjFRCv+VcPdPNoOPILidLyqmtJ6yEtL1fdtPo9Y7fjZtJ6Z3rR8
6dO+xwZ16yxsgHQ5xIe1sfKHUVs9yNO8MrSyGhtoI7ULpqmb6RXeji5JOLtMNbSLS986XWQOfDW7
ZMgW9kd/7urzWi3myDjurDwfbNVmf7Ctgf+cMs7zU2ebFiFea026i3O55q9eg3DigEXGFF9P9DgI
ukiqf1jQzf1WtAa8ank0c6kTsPZYpcjJVhQwyBsGo3yduyV+jKn0f2EKdYRZ12VWbATUgDtGcaxn
5kFQelSMBz232cJB3g3SP7TlXMCyMiFUnS3oOx/oVTTBxrnZI5+3GQ6a5dbKsC+ZRAwK0yxLFCaA
JFEcMyZDHem6d2DTVJs2UwGXeYf8LsqImPQgD0aOJ8Q11pO5ttnr4qHsDcvSpcpl+q9rw9bw4rs6
V+iMqPwpcqFd02LfWJXzRVQmQp4R05C7XshhC1svHueA8TfUTNo1msfCzdYf3ujILw6ElrGT8WaI
KPV9yAmyoZIsLLqK0rQUVn0vvcF7IL2xeTZEbyNYaprEDNkPgQ9Jh6uvGEkTNXPNnfWCnzyCT+S4
1XnH4NW0k/i+DyG/x3iMmXm+2La5QSMCgPqrL7Lk2QRNQ1HbLlUGE8sSC0yrEitKwemou0TghjgA
Cfy3uF5TFaFI2qDhXU8fUNjzJy20dQ3nHuwbxTGS/GC08EnbJd3g3gy5LRa26lLaYH95/r3TRfbo
x4V/B20I4jLH8SaOANfSBJ4jGG1ZMkW5v7KzvVA00GqYqCyDoWHYIWCwKn51UqCKfe+3uYpWtBA+
Oq9hvVCbU1WYwB5PmNxoy2ynphRYtkTRYe1k5bm3x77TZlMZt/O+6ZMujMcJbA//JvOqnzb1NSnY
xQIMLjMSiGhL9l6nKWcwb+7+zAz8XWVtNZjR1Bnw5ZnHVAFPmgUZ2kOblMG0reI7A4i842XFEt3L
NvloLW4bA+QyLwQ0RokWzEVjMnhT1P79UMSbHdCspxQNsZR8EIYpvs6ZtX2Ns2mUCMKPODNmcOOL
ynurDbcZHCbcSKCIj76CK4QbmNFdtepEIJ+lrQ5Wy5XXjIt1N56fIDh2ZUVlnyh3ICzK1/PCTg89
b/YrVO+2FHO8RyiqkrNS9v69qNMUF3kfxv7SmmbYDOjwPorZ9ntGLDjrz81c+SLoB7KUh7oT9KID
tPuOZrXOGUPMm+beXCWyADRjPUM0sQHfxYzcuGuXdNVRZyxShd7GCHS4GOP4MlmzmHfz2Ml876d+
wTeV+g6VFgLUDflckuSRBBLMfi0JwMxu3IScwqphAJ7CbC2QXPitmV3gP+ZX1/OUeXd2VpRtZE1b
yZhWg8bulpEfSO2ROQUeRmtVv2RRy36/plu8ROsCZLVPUgrjSPIUu2hjE6e2yGGpeLClFhJUyIwf
stallmiJvhAIPSeKkJVv9XdZLwSqZ8x9PDTDOtjRMQbgmkCE4TuaWQUJ2fTOdWvDO4fWtmqkxZ7O
8WJUsUR5y84VCIiUGxlLJC8LSCpKvBlZdlQyP/SrifX6tSllfqtQpRtHwSDYMWisSyPa6D9ePNH8
geuCFYIeUnHlNoTN4JbGDyq+eQhpUWpK0KnzbqW2WnmIlbf9SMRsXDNiOhmXDJNZv2ZbWkdwpkSe
SZZQcg4wnG7wo0Z9y3CBJdHwW2MKzU7AQYgIiC/KXXLjPiX0oAgbZfDCJsOwH8e+g1ZuRwd6tzB6
/3wVyTAfZt73l40TfDlToBnnOejJ/WBNYEh4nI1XCCI4JRvUJzdUBxwXpdE3U7D1gBgHL2s7ACyT
aYIvYJIlJUgzmeil6sK7d6oGMSzHTXLbliiJg4mn/A2F+nR7bPSQ4hgl82BCNP0dc5Lxz0KDIIeT
tdBhqMUrkYkQqfLspysfc6LT1UWfVQJXVDnGujvc8NTPErANZ1hTp4+pqgc6X8Nvn/GBc0pAtrr8
mci2QwURF0BKTHOXGk16rR9lgwKATRb9hbLxPA6ynlDyiK94/eGvzjZRx1toQWagWhsVDmUjOmlV
PqiMWYYQFsp5tb3OvecM6q19Eyfw3CzdbmcMSUeJ32lLh8fded2bOeDOLl8GYGzb2xBGpl51e9Sg
rlG6tMs1lUvdO2cJjPa6S5X0WqzlWnHdT5yaZ0XTWOcemIgZeBjM08I3i5a3PcOAv7rY2G4dpkWH
YEZYMZ4NG/jbHbNnMd6mwm14Nqmymx0pXoN7tQ1OqZ/oC8ST8AFGoYG0gT7fyalyh1nL57LelEEN
SHv000/ySQS0X2gUY8nQ1EG3qMa/uaSG+lAufm2zSVhAY+hsE0B4BEDZ+hV16UTehs/o0t7SzPIE
zbiSRfvxxPXRS+Df5gaEB2D9iV2DgckZKOTJcHcpV9tvEf5ACCvzhxibOBiLdjy4xbzcCVFi9iri
hFc3jFFZjPLw8eVPB76PlyerlXF8DxtbWLC3s9bMsHYDspUqYPSKdqhEyjyeGagELaY79S0chR9s
tkouu6VEFvzxxU9TxQiY4+qmYcA6Ws7RP+Xt1ckJc2youzooYo7cXSdjPqSKWMBdQVeRIWsCRUuY
zIY/z+iomBHdFTVqE4oYAO/WGb5/8otOZ89Pf9HJRD+C57jtKl5H0ij2YSjMKE98M6RUemophdl4
4MI7ptF25TDbUZ1766GuQQDMOUEavgI5oCfxP3lSpxYA//wsQgyPrrfSck6jitqFHXpUtMR1lQC3
MjuXIOwoQSOLvnGa6OOncOoNcbza0eHDPbqbook5cfzSs6qJeUcJghzYe1WZayGPY1yKsnCxl1eC
fs1PHEXeW4YuhIBjH9egtE+sLxBI9k3Rw8MzDmjeOchMKHMlWtzBWM5Rz/kHXTO73VjOf4t/OEYc
OiiNneMK5PryZAV6DROI6F+g++Ia3uwI/2b6a6U4C85BgqC2P360f9/o2+udrK/VEQymaM3gYW3M
R1PV9XrlupfoMSy04u0QtV7bPvh2mew/vvLfK5srYz5jY2rskkd1/GX/snzqV7uRmWJlk5BkXCRo
Wzl4dfMfvVr+eZ6EBLJsmMgAxHl7FS6dWX7LF23Ncriwj9I3r5IXkPLzFxe99Sfr5u/vAvdttg/Y
YwhB3ubby3nKj/1KsFK7gdNsABoOQRy/MVwjzz5+fH9/EwqfDZc0cuge/H2Pj/dfj49Rrq5bMs6G
uDXbcyoYZrEYH85CBJ5MJXfAuZ/Err97RQsjJibgGU1QJ1eUdNhtNfLN61TMP+MVoMsf8iOS2KXF
Xccs4Cc+I++tEKITPAYhPOyfTt3FZxIhFMwtu3E30q/4m+51pN1+qv+PpUgEEZ7wUine2smdZYjJ
qSh4llvrtmidBx/N0dJ+cpX3nh925RLxFCkoaOLfvrHZRadbpFxlQCHgMFrob2d5ana7BYwVBh8s
7OMl8t5i9A0f9QBlGbvZyRfmNJ2drN5xicjJv59rjEHCJUlcsRtLippPdpJTk6Ljl+ZbrsFTVLhG
nMaUNP5YUgMzedzJpHrJIPTQhxZIVzZ95fX1MZJYDNPTx7f4zvbFwYAJmWSvJPjNfPtMt9jbLBuR
aICnABOd0o0P/QrealX5vi1jDxTCUgdlIXj85HbfeZuYwMI248nE5qJOCpXJzJrUa/nS+3j0nk0G
r3POYjmdEVY27hPmo3cf3+o7X8OxICOaxZIcSadbSz/7Axq7Ei4LeWhkz5a9H4X1WSr5O2/RNXF0
cyQuRVg/n9wWdjVJXh+/udgs5ILqvejzg9X30tjL2kCNnOXGeivR/6afbGjvXpmDgBE2wgLxS3/7
KmN0/8tAGliQeyN9NMMwcRT3fBuAJL18ZW9H7Dozyhl/cuF3PhOuZ1BdYHaNvu34w/61k3aMvLtM
mPJgC71c9LUx7ZxFiHsfBOWTHe2de8T+zyLAhE/lGBf+9lJtaZjbbFdM5zP7F4kOadlidwzeZhBI
9xqZ8vdC+p/5Fb9zg/7RG578IBsExTh5pwxM48E88ZFkEgMdo0OOxGhLfEgMphT+8yL10Xz4pGwQ
e4Nn+dsbzBk6B0/iBmMMgSJ/QMc0t/Znfm9/fwrHxAWDkFUbxzfn1BLQmDxSPFpyYAQGArfFXKDn
S/Ppk1LsnascvfH4h90TC/2T7XNkXqWqbR8y2kUjqmVto9ZJnf/8WVNF88mZeCiaBu5nb5/YYqTT
QvmOyALRSHXbYa7TRE0nhs++r3duh41Z4mZvcMixEt5eCEZJJTX4abDNhkK3YnYhgsVPHIf/3hX/
iRTFL4uIeMqfk7sxKVjmpQbk5HaLCzbPbN1lPfoPvTD1v2PCWq/P/3XJkVNIWCMSdfsYrXKyb2TI
usEPqJgtS9OypZ7e63VZoo+v8s6NuR77ojI43Bz6vLdPbyaFLumKllbcb6EMy9S9Ikym33vumIZ6
ST4L53n/erQABJlS35264k+mMbouuA4SBNHD/xEnCrsaJ0za5Ebe3I9LZ/38+BbfWSDcIjFmnDJ4
/v/VeuOPz9QKD3JN64zJ3QZ2oRm2/77e8eQBGLOt467rnxgN+73DjDtDB8FYGvGdtzDw1OfF+kl6
5d91AVCUzVHiclYyEn/y7cZOit3U0T7TItoOpTauLEzNzF+Q7PsHf/aYwS2SBQqvH6rDx4/xnTdH
uYVfoE1WoQRLebtSpszI2pbAkqBxVPKdESD7O6N5qt+XDbYdgVMgKdp/fMm/jxWCKXiURyaH0/P0
0E5ns/ZnUrSD2Kq3g40q60cpYCSvhEl7fhczwSuDpk3Bcz++8DtLxsPW0+MD9Pj+Tr1myb2kgMVv
MJhwq7rJbVUFvdbzf65juT0f30uTgSsfJdnbJ9rohVl+D+GXX3r1gbnGGJM3Ubt8CmVZ2Z8s0PeW
DkczaODxiSKae3u10SISC50qfam3ZAe8vdDWlZlQoR27+TV+hOu1DWh3sCiuH//743R5jKSNeCwf
+7i0/lWJuBnYdeLYqP8RM91JPJ92DZ6Kn/So7y1Q16Qnpoa0aVVPamY8nzQRt7yqyincoEew8MNa
cPVEf9ueMSfSn/0fd0UrjdEtbQ9b9du72rBTaRgRZHWqRmcRU+7aQeaFSdYnq/HdG6PLPxYf/Ns7
6fVxpkIWikMDDi4xMwQkA0OY9I2/lGdFZRv9w8bkz2dI2DsXPYak0PfwMDnCTw6GzUSmrDfmbFYS
2+CoGOFa0cE3+NokVRV9/Cj/ruRYHHSoNn0qp4J1srdUc8GULbY6jEQNDBeF2ba05Xdmv9x2YUJ8
nc3Purp/clHe4sHHyBQ6K4/nSvVw8vaWyk8TB2oi8Pnsql02Dcb1vOAg5mdDfRZ7UEcya/tDijKS
DEABPRUkqwshWOGR98nSfWe/8TE+YUu3HPb20/IynVFmkg7VoK3pkh1Bukj4EpziP37K79/zvy5z
fA3/+g5zZygnIyb9Jt62xQm68WiuRVSkssPK8odbu0rFuTHDr3kljrW6hIrGuNwjlSc3Psmpem99
8cZxiAZTYmc4+VobzORiV3HLCdrxUKFW/W11bYEkzEgupp4e7eObf+8RA35zlnByHkPd3t67cjay
KbBlDFzbavFdY4LIXav5k7t6byG7BIlL4jAs3uXxrv/1hFEGq3IZ6ROw0Guf4zyBR2zN5IXg7c9K
gXdviJ7r6FCOttc4eYC4IyMQkBQcHSHiUdyhCISoST8pON69CkMlbDxgH+zfb2+IuaZYm8SmEhOc
ZN4emyI1RnRaTEB//H7ee3LE93C0ArwDPpyU8R3FvcdQKxcSg7EnAi+P3GZy7zUTw1/+n0th/Owf
C2sywN/eU9Uv/eALXpJeBn3rxUMKw+kh40VNNOdf/4+LkXYFBEeJLU+7cOxsUtyhKXgnCJj9OA4E
X6IQj6ahrPYfX+q9d0WJxgGIHTMn/Ml9oWFSTl8B3ZAUUd1jZeHdON7kfbJXHf+W040Tk2T3CA9x
Qpx6Mdfl5KzZxrqre3STwYhW9JzNcX5KQaj2emTa5+Pbem9lAPYhUUStBId1cvxZA0PjlQN1hp9W
HeYb43FdTkgYdX36ycv6+95ASxSL4n/snUd33dh2rf9KjeqjjBze8HUD4STmLKqDQUkUcs749e8D
q3xNgjKPab9y6417O1UqahPADmuvNdf8OPjIZKyfbVAlK23QVC/d1PU29KurwqwPSOX0nVhH/ZEH
+8VoJr7L4BMswgiKtm/n4dApArRxyuvaIOiHILOEW9BOtO5I3XyJRZ9/JN58Pz/IrEuAc4gjZDpd
V2s5EnUE+0JBUzs19sdSmidybvJw/fHn+uUoUA5ZxqQyqHm+fSpB6PVxxp0JRRsOrGof1OdIOI8x
lX7x7pZYiEILlwOSzsufv9poSdfTHWWiq8/7qb+UJH+RTND1e1CzQX+QKz/9+enHYgqSZJJxq6fC
s3osRU/rKAi5EuAwRrCeyT+i3Pgko5rEAvcBlW2JDZ3DYx1SygJmE/ncc70rFFx0G7xjyC6ruYMU
gwY1kW92ZDW//1rs6xr4Te6UhJjrgmDVl3Tg9BZ6vrTqTo059s/EblCGT+/utFSIBowag91dNle7
u5mh90EAkuCM0RZelmTP8yI1q/XY/+wD6YrEDdwQuSLL0MtXiwqn31roRBoRpWqKHrNCKL2kDT+d
n2cUrqaEEwssgQd6O/0QgqL2NrAbrmnDrewkN7HCGaYhUc76rkS2FzcWIjr65Fn8OF1WR+tk7z4c
v8GybXAjZweh4vj2N0i56SwNv6iX6hStTFQr4akaadlnz3+OE4DGTEY2RZ2t8e0wIvbwnbqk8WgL
M11LGZ5zRMa7j9fWEmu/OVLIeC64kKUWbi3/fztIHeVN3Tb6144e4bIQrvRol4nGppBkG+INAQ5N
X/AajszJd9mFZVSajUjrqoth0OoboiXErXfUv47dwQrN06z35MJ3Uj125/nLxw+4HorcsUj1AUgO
GVc6oFebR4SvxIw0lK5gfQzOcTvxnW7I+hMBv3VP1OlTI7MXeh8Pup4hL4NS46emKRNirFN7Ma5D
2lCMoY1/R3JFf0DqzeZkuh+Psj6d/xzFJOYF5Ungu1pvFKED7IB5tJA2pwFRibCkYnFRcugrPyaY
+MVgCyyEPjQq3iAyVrt+XRRgyrRFjRj6jDWU5jUHGifm2PqfnPg815uhVhNf033fmCuGojdxoIkh
87eYq3w2ZFtGIfMDG4O8GjvJal/sOilEeY87I5uMth2oGlNsm43Nx9/o/UygOksXBPsU2SbyI2/X
Fx0Hc6zpNCf6UVlyi21CHBbTz+68VH7ejLJaxVxI8AQYuTxiCOrb+GY9ion0+PGTvJ8ApCOwZgXO
sVSbjNVXGVOhlYMZKzWgRfoPacTPIaVBd/GVMI6hkl6m7uttiQCDwUgRUC2hviStHmjAI0GdeqpY
VNFxkSFmFGjWNprTWsiqc8S3xabVu26H+avsjFEs73HJTY/sje++HXdkmCcS6i1z6eFcPXFW4bCe
hcYXK6IDoMJm0Rn15Fg09ctBUHjwTqnY6OJ6EGxfsBEOHpOpyixPqRTtkMOqs7af+nqLIkblIkQJ
hYHgn6z2ii5NRyvUx8EGhheiXC7NO3xTaCFV4/Dm46FWT/TnUES5oFqpYYtrhJfiG1GSE9zaekbz
d8MDul0qSJ/bJF5GofTz8jAgMNdKhLkosJHKQzptQhkHNjqiTxVxPlawW8v3/hyG6gJ1RxLvurZ6
b/jm9NTPBGT0vVbv4rGaTnGR6861LtC2IRdmOrtGjUZM+reGBIgKjdJdsNfwbXH4pMcW+moRvvw6
OqWAZQkSEL/LR5q5jIUeVhHFNKZ2oybpyYidwSait+0IkPtFF/ZqDb6MhUxOZuJQvCc2Xm1daob1
88R3DOP6tqO5B+ssZTv7yQ7L4p1W1F+7aPjaSeBzVP8m17ovIxXoiaivapM9vvTH8hTLXrn6hTjI
TQ50S0ZGt1YL0WJBV66JRb4o1ZbynOH/mhzyhirnJd6ZebJJojmTr/GEi77PEW7UR9RKv3j5C8ZW
JG+GYALzvbcvxK9nucP+s7eRhuHhqxeFi364dKswTt1Pr6E3Qy2/yqs7ViVNcjgt0y5sdWGfMCFO
CUa7z69URrFYoyjZlrPw7Sg1ba1+nrKGujkIN7I1CptSxmvqv/EsXKskSoAUIfTVPLKgLKRYrzGP
ijj+Sld0cy70gn798Si/mhxIPVgS5Eeo3a7iEwQXQdlndFUnkRRv+6wMDTpCpMAL1KA9FUtcHeSu
LA9KH/d3nx+aMwpVGVqP9wuF1upcGjJaCxWSc2ejpA1PcBGEPa3e2mWGqxzWabp+yd5/TBv4fqtF
OM99C7kSwTRbwtsPKAyUdoQ6xr/DVKuzOMmLXWg1x6ot71+tSQWQTyeaIhe8db4+FKteF8tssmnL
uxZ17alXzVt/1g89Di54trY7Q60/J2th8yEjKeMWQJpVRqK7OhbpPxq4ducTnaeYFXyxSozBd6Wk
RLqDxWwZ4tnYBBRhsOiM7z/+nMtMebvNmNKSFicCYd+nOvj2pSKeoZksYWhTR5CtjH7sFWVYebCO
aHZo62OZh+Xvez+eSikETTLi1dXMnaTZVwMZP5xmwO5AHrP4IQ0Cf4POOqa50Sh3eBEf4/+938uW
ciASJUoAzJx1tjyENUhjNP6KGBoJTiIWgpuojbUp8dc6spf9ciju7DSB4mXIif32fWLUNsNrxGQG
58BB5gARE9HzrSjPNlI8S/rnojYoMyZnNYIKpuxSq1+d2MJI77Sp0YGhjXh3CDX+VmUCOO2Tk2RR
qjMEuycqRW6Wbx/K8hGczXhQYZSXmY03DWGcu6keaj/oDTPxQivjY5zhd+9xNeT6PaY0AJoQDRxa
PUtXUpPn2JBaN6vS/sjDvdtWXmT4SByIrqhb66tzIZynUMQSCS/Rqer2eJVkDr1B+ZF58X4U8hpU
4Sl0cqTi3f72FeIq2sdGRZeylTSaV4X9jGOTPm8//lDr1UXswqpiXTHLZRMn0rej0JklwXxC6dL5
vng9Wj3QpKDbT4rR2wCIxuu+OFYeejckb4yLyyLbXlTb6ztfKhnKqDQ0UkRNLbkj/uWaYxWtcCnh
rHRhme3iVze13scPunz+19sISTGZMG2RHTIoYsu3D5qOQ9eLCSCodhPZnTN4xVY5k91jqY11JZNN
4+04qzOHaLHTq5RxSvfrfe7C3rB/HC6fPn6Yl/vIR0+jvH2aUW9COv8YRd4iKLBheXjSOTYvLvwT
R/MovdkntX3APt+eHj4ee335fPeEy8R9FXxxfU7VekFqCTvVGRxE8PZ348w4fPZcXb/JZcG/GmdM
c/wgcsZRr/xtRVv9PYLmg39kXqxP7/Uoq+OFdvw4FZanmTewQRyMA53cKY+s5Xf3pPUoy5p49SxK
VEtqvHyvs8r7lji3z9r26f7mGDnzBe770bRYbbsImdNJihim8pCdOvgP2PeYbV7MjnGHf+f+yExY
5vJHw622XAtiJdsHww3ON0xf7e+5ffjp3BwJOKRfbBivl+76cp41eWNgBbo8FQ5YDskiB2aQY7q6
+7R9bNw7vIKOfbAj28W6Aao1ldIKlzF7l4sdCyzyHmb7+915aF827hN3AhuzzSMHy7HvtxbXK5h0
yOny/Sbn27wRtxCxvGYTnkd73063nX3k+y1n/QffT17tIolKDyXthctDhk7G/1Qbx08Hc7Yjr3N9
Nq+m/1qyowqgiEIql/aiaLd7n1aIou4OfWIce6Zjc2W1aZhG3Jj5stBM7Uvn7yK8kksZ2FmeYEVy
rOD8kmf76AWuNo/YFGQNw7E/X2B6AafBNTYw4Jy7yI3cnzTdsxGL9s9jT/kSf3408Go/GYIMlkDF
wMqNfGjui/PqoHzzL0k3YrtdPk23+SG6UC612yMz5tjrXW0wQTtGerHMGIU5g/MC87PfEeU5vm04
pZd7gWs6pnNMsv0u2bKeQKudZpLzJG2WhUEBchPtJPc2c2b72bdLXm+xke2j5/ivNgAKgoj4l245
dNxvd+wmMbNcXKYsEGJPYn0orkXkoDrWSeaA8LtqLnG03tZb9dTaH3nLv9pXX4+9esv4yUwpBRJi
FXfw9Pt0E26GzeQmm2Yv747lzH71SaknULRAVEdRfHUhiDGqjqe6bOwa93dRovsWeyp1eu7y2o3n
q48fbb0REPaT9yTZoSiI/BEtvH2rehvJfpiqsyMorbLBHwlXZamOYKxN85E9R11tbgyFspNCPz1I
poEv1tuhUlPWR7mHnOXTpX5SWHmOHlhJj+yh67e3jKJSweI2sHTLrvMqKpRqeJDYHbV05V5gOmkc
6j5tHHGSs4u4zLI7Wpmky0+/RTI4XKsI2imC6sv8eRVNFBgl1E0JqxHgZOnhy8qeqrbZFXb16bG5
uGxhr3caHpA7HIkbhPga7VerdQCNp54tQ5gcI+9zy8H7ornD/A0PpVorlOQ2lfoWw9fMKAebzHYj
2HgjZpdpPPn3Wpu3BQYCfd/vq0yXr1CTVDCG6qg07VKEm/Txe3kXfFNzpTamS6Sa0IVRu3r7YlQg
GnlrGEAspb6HOSKkwcRuiGdt6I4NnFdsoLV+jDcQTvunmsrj96CxAtOVqA7Om7hU9GMd7uv4cvmV
FOYH5S2sXuEYvf2VBEyaIlEqRwfEQoLRsCLbwCiyRxL/mBEMZW8eplLm2I368Uho+36xKXw05Gnk
g8nQK6vTCSdXYZjoDnHq1vxaId64azEfusBx85hK9BcjLZ00OmV4sgpoed4+ZNAsyDtLnrHTi3Wk
FPQ6ucUU4xZKner544/8fl2TwiTnhW0AvRriuiQfGOKYFVhZOQZWOF5bjwCequBI+eTdJYfPRlel
giSTAjJHwPLEr5ZYQHFCieeud3wh9O0RoqgdZ4FiM6GyQ9TNhWekfurJYqyeUc1Pn7Vsko7sYO+X
Hr8DupulWwmZ2TrTNs39EBQVq8vEy1n3gsIXbtRERBNotXjh7LEvxsrl02932cdo8EHqI5Gpf/vc
mRZmSpH6NNo3BQ44k5psssxQdp8fBXHzUixAc0Cn7NtRgqGnNjXFPTYv8DxxQsJlGJj2p9+fKio8
iERmjVrlyzd+9Q2TSUmMFmGIEw1lfpaqjeRGAu4zA+6hbtaN/uazT7VoNlBULsrh5Ux4+1TyJDYp
LFr84ecoOMSFMO99mCxHLgnvNxRT1ujZ5KEoub0THdL1S0lvMhsHPmzuiiL+Nykm7TvR1ATPzLQB
Z9ix6fe+0PwlyfqX7+P/CZ6Lyz+3/ebf/pV//l5g9rTIxlb/+G9n0feab/+z/dflx/75n739oX+7
6J/rtquffzt7KpvfNl3+46mNinz9M2/+Ckb66zdxn9qnN//g5W3UTlfdcz1dPzdd2r4Mx++8/Jf/
1T/87fnlb7mdyud//P70I+PtRE1bR9/b3//6o/2Pf/xOBX/JSP3L6xH++uPzp4yfvI6K3348/3Z4
yp+juvjFjz4/Ne0/foc6+seiMUQDuBTFllzh778Nz3/+kfqHiaZMZnYqtDC8tJ3kRd2G/Jgs/mFQ
bSKeMEnSKiTZf/+Npfbnnyl/oKfSEQfhIEo7O7nwf/8133y8//iYv+VddllEAMz+8fuyyF6f7ERG
bxKMy0R7tTz+mwnGZdK/HmUd8a1G+TsjvlWo8jdFfKtR/ncivtVN/X8S8b2kNlZf7E3Et/piH0R8
OOWZ5qlv9MZPKSmbL1i9g0XBiW04+ygALKwEw7AZI1zMNZcwEJmPlHtQNkss6v7LweAvjs/XweC7
Av0/g8EBZzAfm7h50r+E6FfbuzpIgmsJ+/wAs3Stuk6SoVBPpUyJo+2vA8RqytMzkGbo4/9fRImr
7/u/GSWuTvy/MUpcPeTfGCVS5Xi7uf09UaK+bLGvttC/JUp8lx59CVVfhYmr9fofYSJ8Criu2Sz6
J5pQdRuYG0RvPrLRzA90r8OFF4ijkB/+DCIHdVS+KqGpO2LdFDvQVNlJWARCZbd+rWG0npvHJCrr
I+flV30VXa6KMH9TdLmKw/6m6HL1LP/j6JIQ8t1Rqqpcw+lfphuJyGK1fsTRwjx9rEkKV2WQOQrY
5spW9aq5B71WRF4sNTIm4AX2To6Cjcdt2C1MU8q0bH8JDb0PShiO+Pd1evhNb+LQcgeAp4+zkONf
hOn6ODiYqnT33BeF63a06gc0ITE/UDXdLrE69Xnq+hTkMQ6j2cbHBZbS0yRZtUMHf42iTTUW0ghu
iJd4pUcafQ9N+SgUQNjwAu+bWxIiY+iIZSE+VD0mu3T89tGNIKbmdV6AWnIMyGv7DHdgDJgLf7oG
jmbi6ll1+u3YiKB1ojTErjVMY0G2sw7r+2wOAAw1XPdLZC3DAGvaBBpjN1LeP8q5SBcs2bT8RIxL
TpsoMTTEipXM1A5HpBWOopnll7ptmvs8AvANoLjLJ7fRwWBuBxx8oBkNwKxLhf+sGgxkHib8YRWo
1BicdHB7MdUO56Z7gOItwooyhPhRzwtyaWWljfcWYGjZzTFMuE7p0fyploofuFbWicAKUb/eB2k9
wEebAXW5kw4J9RDkqniDb6FUerMQopErF88MW+6GXrLzgYZl2I+ZeYXHYg/z1Ay6H3WizL09Wplk
uHh7S+c5ojQMt8OyfawwG8Pz3hS6+qTWe6HZLDabxWkQTPWCgYOVCxCo1IvOUdG0RXeFDz3cDimj
xk7X5lTeEu7IW6A/k2jnigb6IvYlzLbwb5cOLdQqiN2lMe7bHBzSoj6bziwVywv4OoaPs3WlTaKn
xYWoen2tTN9DfBbgfoL9GZw465PYbZJhwlVzDCUJdGSYX3F5NOpzaeKyQ8Y3EUbFpblrap9UJC35
JaU0EyJVpHY4xWvgNYa9lVejfpK0lS+f6jVZJix4hcGhlyPAxbOfZ8pGWRikXqQJDV7OEap/x9Bp
j3D8OcprB71HfKeJM/R6gGWG5UZdSwp2wuU6xgdeC7+R5JAUF495Faw6RIZy4zdW2XlQXvWHxNdZ
a31V1k9179ffYJUPZP+xEdbtIRyM+w7UtXTa1VP4rRm10u2bOL3BLlO6KeaKLu0QRd0PcqNFZPvY
k4ieLIXmuTnMFu807eeCy3Iw13YAWdTAob8TTyVsQPnXViCeiziegqtvAhEbfRHfXtvwa+YmjrM6
gASoFwvvtUpnsK2adVnmsdJ68xwq+jYPGtOb25pMqWlG540aF1/MuZx+yFmMAVBST9NThl4RPkqS
YEHW5zUk5tk0i/s0jaQH3NAgOmBZGGVeH2np6ARylsHPxmjnMIpQI87zqVEORS/205JSwNMjpHsj
dnFnSK7AzU7JhrAsvmrgM2s5tuxVdbp8sWIzRYEonE9amkRgFAecpAVLaSkzDNNEd5qStMCPMYC7
KAt9NjHQ7kqsduBDM4FTcYQBqIk+SFpFuctEJewWf2kd0+pKCkUC11a1HO6JxQXeHh3e90oL+Los
eAsB8V7qWMiLsJ7VoRngi1slW5W76fcFVzTYFl5bM9LAprus82wobMPyjYsqkaPZCVIjE3dmrsJc
xu3fGi9hDEb3KJlDwO+GNoeHDArSjtubWeOtPEgd3CgYm7Fisr3pbavMm3EKitFJwdffmHUMNhI7
1kS3W1ntsOas6STDNn9SG6jonX6i0g0zOtTX+luse6H+DuZAeGtkVZhugKIiwsE7S3cHoc7wJsf3
2LayMgb7GQ3+PVt0MzrNWKZnXYsLqqxQ1nLgZXc3kzqVVATVKb2Xuoq3BPUaR32UTNm3kOf+LnZ1
4W8VqEPfK5RylQvai1wqRpi+TadE+lWdxqz0wjDBKzhN8LGypzwhLWN1ypyeWTXAAzra26neNE3u
G2CFhuC8M7q886QyNq4FJZa+RxIdaBs99DOLxqIa8kGHCh84MoRzyHZ4ul4GcoGz62Bl1m3V11bm
IHjWYlcl8DRtWvzb2EaZYj0LmVKn2C92+nmBZvFx8seBg8xsE8t5lRn468r90RWbNNqbjNAqPvyb
MkKrCP7/Z4T+s3TRfy0jhInlohz9zzNCZxGO8b9tn+unqHmdD/rrB//KBynWHzRRUiLCPU+i6WnR
if6VD9KkP5ZE6OJMs9xYX+wQ/z0fJKl/YAksUoQhG6tp1lKA+Wc+SP7DIsGESRK5HBJDuOd+Ih8k
oRRfRZhwDij1kG4GsYC301r22ANDrKdclZ2JbP6lqdEyQ6Wnt5EnFudyKn+lz+ZisqLQk9rAnTNT
dBRs8R0ZRkhudNJTNQ/WHtpmsCmNGsl/AA8e2BmQ1KzLINNUiacMsU+fpXpLHRlT46zIz1FURacB
KApbadNkB1y4cl66p8QA0hfECDhhmKTEXXBZNf6ERUt80cdduQnb6Rqe+LYxg4TOK1Nwy7F+SGph
XChzMpiFWnaqGigOQUhzV05WfQqaxfeEcoj2ahybBED1HUDH5gTmq/odbmazyWq4TybDbhOB3XjC
t/6pM3L1xkys2YtrTd9EpfZDC/NzjLSDrai1OlJKndBaajHGlcit7kLdTBw8Tx9pvCn3o2DWl3EU
GA72HtRVR9ncFtM0neNGdhEIRrYY4EnbVAJNqNLS9bVH3gUcLYPF01uAbBShvK/K4abx62HTTlZ8
0aiNDB2LBki5wJikMYTOS4hcbL1Tr0Yh1+BZQhcCf5hAOhtBfTSF5DV6vpno5LAVMCxeYBBtVHWu
uEJeebGaGYfQrM97c469tjGJg+f5Dh8/Ad83ATDiWNcI9pp8H+no/MW6BKAUx9p1AdB1M1WAEJEG
Vzapy8ybk+F6biWQEWqYeOCc84PmF3t4fyo3hXK2vAE/Daqn1YM0UwIGzVSyP0sVB2IVzjDcBHUP
lqpx5c7/Vsed6JVtV12bgnBP05o36Pq4oUR/nZXTZWB26A4iAQqKiXt9F8oPcttxbKVJ6XCkPppj
/iCkBDvK+KD6MfOaY862glB05r4+DGNFiVKL8W9uaGQZrRQWG97vWPQMNBjEPt4FbVnXt4GhAm/A
hNu02gfoPd1tKMBx0zNwBHNTX3bCaNl1ow23RljWp9LQfs2S6S4etfvSan4m8ww+s+63ZWGd62Uw
JlfaKHQ/QSg09R7sBkaoUim1udMUWjkCQu/HzOtIrRsnYI0AFqq1CXAACtu5is0BNnzglJOLfvaz
i85MYYI5opqY961Q6nAm9amcwHeFtVq6Y2pB5NOoUZAjkHAdo5fEWmIVfEztvPInzmgf9wZbDbtA
v+OIxgNliTMMvsUSL4H21sTNrA0J0WskJaM9cblRz5IlAMuLMijPlTqOImCdlVyaEOhZA9VGiaIw
87Ihp6BEqUyKftSF6oMrE+Y2wMw7K++xF9evRq6lrRvOmCk4BHBEmnoGr82W9WB4xHq6D0ANLaFZ
qxrGFkP9+eDT0inAbjJSul7mKOuwIIXQuh9x8Ga5J+Bk910/tHQxKpNs7pNB1To3kaHCwGWxfFcn
KKo81UrFa72nx9xplTIPHKOsSrSh0pArm0T1J2sXJUh0ccsfZMinEClnLIGsJgLDNVQdWM+q4xJg
a1NITAhSw2p3AqgbzTUySsobGbVmtZlh/eJIn6tEmZWWWJSh9R4TVROuHS5NIcVOpzVaE8Y9PsYP
RMuN4I5+WczOXObaXROCqwGZMhWxQ5f1NLlB2lbVCRgQyNKSMY+1q5R1uC/CsCydSY+aB4RCgfQz
lmYMmbvaDK96bB9k25KykasExpHtPjUSa1H9lmZ7njUg5b0maOf2DLBVJJzXFvdiWxS6YLq0xMZs
bwWMshtXyDR5h50hH7iQtT7ZJ34OusMoI6y601qoR1tWxwEWiD8/F43qXwM444UUVjRZHma1CD70
qZ56ipm1on3nMqteWjTPPoE4nJ64sIA70yMFoBc0BrXd5JytllOU0LK2s4bB2gm38UreRJZaarvA
5NC48uXOSLxysMDDKqMGYMZUgP/auN2MN50+thc1Z/0GakAPGXs+EcEdcmesQXrlbX6lBdU5bqvj
tkrMweXSNm66JigusGPCksUShwujNHyuPhkygankHffh8CQF8bwFX3Q+1rqwnSxwqE3UiKdYiqGI
ysa9qLPYcj9tHXgZEDjGwBW557hVUzZn1O8nsMudZutGF22sTsL+yJAdq7T8bVnT0KEkUuQloL08
yHE3adBfBYpKVoDz05nzSMcOWrfqs3hKguSuFtNEOPUbdQcpCCJM2dLEoFKz/5qYrJItLT+XpFrK
QyFYlR1Zs7Yn5XeuVfp8kgjptm5GevlCuOf5WTiW4hkppF3X+0/KnCl2mxY/6xKzybAb8w2o5MvI
4pIhxnhcNI1puEaqA4trffaE4tJfZihkXDBnJghHYRQWuAd4VRy1zouqGJwp9Df0O6SwsZQf5aB9
qYJBPBR0enA66md+boxgV0v9jHJ87yLfINlSyDt5KjxBynb6LCm7emibZ33WHBkwi1vC996BvGoh
+rZC4eodR3NcGg/4zd7WktjuJyYErll49wEQtGygwN+aoElaEJb9NchC0IdLQX7yWgiKMidV3lZO
Wda+q/YdO4ZhKScxYLZt1wnRjQa9LUygygnGD6GR6uAQxip9D/CwUu2hgiwVOiHs2XmLN+Gkn/eB
1J7IArHZxrBmEcayP/SBV2eJzBUzLRfi0YTx15WVTjrd5H7dQMTTcvAUYi9uI6uYvQJMWX+izmKZ
QBid46sYZttNbPjYE/VRgwgwU6XieSD6Kjf4dGraZRviOeF20QSbDhuZMj/JMJ7fFWQHyOElhpkr
uyicJemAZynO3xBnUyxLI6v6AVgkHEDKwE7cDa3Y8k57VI/7rqnCaVt2/EV75BhKWoPNhIL9mAth
pm2tEFRFvYnjWmWHlqvM34chVGGATr4aH6aknKS73Ew5fHM5j6KdWjX0tHNnVsITvIgS7u56KgWE
IHg+PszGghlW6FaLGkcOGr05w6Yzg9aqRHl6qU/i0F2KTTfCi2gEYfY9cxi66w7DaMGmnSq/ssR6
nr0BFUB1NRHzPLZq2KsXhW5Ms0ODWA/MDLkSXRZyHhg3sEK0djvLUmRexJVBMFeHXWm5vj4WRIdE
VOWO36KpAQoNZrjXxUgDCUxoQO+1MZC38JJGyg5xIqZEDS1QUiGw2vAuy6ZkdsthMlNPgGErXMtz
/ahlibEzRXMXIY2ga8aqNlI6b2dpqndk7ohpGw4hw4JLxqZ7AlCyu41UElGVDOY+FL4lESbnuOYA
v8JWQTCdRB/jm071+TVN04eCWtwNrX4oRNEjbnMtocXHQlEXxO9cbrOm3EkG5iRaawV3MYkWU6rO
JB1lRpHlPjeADLEj+nJbpz1fZ51sdEG19qqYWg6OVYeuKm7pSsCYcmD+5LO163zBlYruoqm14YoX
/ABbeXGZTi9EMzm08OEcY0gajrzqMI15vPM7bU9IdBEoUvnINjaeay2ddFF40wn5plNU4HYpXmJN
/kWKJVK8TeFvCt1ygCbcp1V52VjdLpTzb6kJWlrLoxsIX1dhI8wOpL3xKwilR5MVit9VdJjEttpJ
zD4tCV1lLFEjxiWOFHmAUXwyf5MG/yyttJsWipJNN8wZPbSkKw2rOoXPRYexskREuvWgViKy0KL4
OfdB6/qaxF2l5TmN4RyL5JMenhy0zjO9Ea7SLL6fjeZcmQooUkp00P30e9m18SZrAsGGOh2SR2l9
2vqLL4vFoCOYoGv9Ke0B7ZXlt76rbzrRuKaUGTpB0J+FqrXjLrVpgu6kg7nHeaeXTlgDyMkbgtGO
DNDUnmupdGWUCteIobyMLe1KM9UNEsz7HhqWLcqNxRKda4f0WW9PZvuFo5oQeYhPO0GigSAwt4S6
X4qg3VRTxSGOv6Sz9CZNw+ApfXmQcwBMsdCk29gqf/iyVm+DwXyqfQq8oYYngnUgfXxvcjXySgXP
xDLQfowWQXkJc1ypB0eBv9inFkQ5egq2apR+ibkMcbagkDtRW/1BnKv5GUeS/tRXozt8I9qbodGd
XlShlY17tgGurePoBZV/qLPpLsnEk3zGSYqc0uWgG1st108b7m7El15siP391HWnczleUk4ZzivD
uFHhYbtcf0W2ehnqUj2a+6iLkdrg1fh1SE130uLymgSm8qipw30E5ctterDFqPm4lpHLd7TMvwwr
AOS6NQuu1STyiS/rmTc1Ep9nAre0iVR5uqTB4DLxzdIJGnE4KaLy+yyQu1zICKccNuRvx0nyqMnM
NzXeJnv+DjlwLIVk9IToj7Rd/GxVgukWal9gBAbkOTUtin6dVrfkKZVS3lIwAPbEadtl5KdHCLtN
0viWpw69f6FiV0uZRWyJoi64xY3FpgHU3e2xeuKnVD8Ud4Tpcem2tRRW2wSMfOxx7VHB3xRyLAb7
3DR7dGlwQeFGmQ1eTQK+9QmPVOuGPVsTVHkl0RYWsNnBgxUyYbg1u3iSoKo1wklT9vxbOUOfeTpW
JgJI4DbjbT/68uM8GcNw2lMvEl1RV0AEiwO/ehdh+Qc5s2pMoMVGrROw1ZN1gNU4o3HEks8ZSMCU
7AlT7I29NhPN1gVPJQx67sbCMGxELVyqCnnZ16da1DThTuYecwahjQuPNWSE5EJEXWKP+1Dxw/fL
/tBxsQrg6+rJnmpKcJVILTUloWyUn0qgVLd5MONBKOhBR1A7oshqSi6e5Sg+aen8hQpVfNlULbne
orDCQyEPZr8ZZxmMZl81hxbgI52+93AyTxC3njfCVGaUh2TxLDNG64T0sqRtKhWU6RbSX73Ru/y8
VoST0bC4+MRjZwc9uXUYOoMXk48p6kgm1apu0r6zq7mGYtdJh3ycL9Uh5SVUs6OE+ilEaLerODEz
pdtiBXevcAs8CY35XCgiZ6yHwgGdjZGTkD21gTntmmSsnM7EuqBqsnN4qsSWGrnwUZLv27SZvGzW
f3AOnY/qeAoJ72Y0ydjuB2XBpGiKLzyJVm7d+LAIfW9uojbYpE13TWbLP8U4T2K3EJLhNiiGRvEG
oU+vi8xPJLC1pZB7Ete5yTX1Qm9PFw3VdlYNXLqKWB14nmKokxNFL87EcNoUcRhy/+hl7KEAp8o/
GrE9l0kG+XLhtkJTEbINxRnA200klt9iGevmoRChi8rzYxyJwRYstuTmgxGyM8obDqPvGekBQg+K
KA4S5//L3nksyY5k6flVyrhHGbQDSwIhU2u1gaWEhkM6HHj6+aK6i3O7OD20Jo273pSVyhuREQD8
nF/yxArsO9ZHFn8stdRFhaFzKZvlBTDpm2Z5HXNam+9Ulp3lppK3WhOZ1vPA3HM8r8099buMfMHc
Of6NhMgib7Q+jV5qWIxzVvKwh3pp+V9MKWS/KX2ar9l++HQmk2emm/uMYqnpLPXW7O2MJ6UdJIQ8
VBXt2bKuJ0LtDRlsmUO5/d1UMNAVxOnfcnanaIKJb9nNq+vv1twr1k3C4l7FAADLc1M7imC3cei/
mhzTLp/KEJhlXNYzN3RKyWp/2VOEN9z1UxVmkeiNfEBSLVW/Df2E9DR/IKDjs2tC8bJkJyAuc5Wx
JUZmbmJ3qZlb0WWfxkwHV9BOB2UPQagKTgrqxeePNis946wZF1zmhHLlEaZvtlWzgycgrP8ec+94
bs1+eeMOjvjJO7Mjn1eKQw2kyKw+Auu1rfkpHfC4iCoSta+rqX0UFFXTW7DctMugojo1h6OYpu+a
1t545gLaJZMW1lnb2F1sz+22l/YYnmU6UOvBt9PeuS0WQr+5+wMOBcDBcoxZTsPibA6JAt5YpJ6n
54MftO1+ZGD96uqAHuLaDJafzk+LcIvUuJyiEb1RuB/oYk6uZl82Z4Uukxb+1FV51BTobY8laS00
wk3WoM/JMWFlKTsQ5K3hc2gQAmnmBUhMC9iW106QnrUVqryt0Z0K2dNhTK5PcS0LTdvSJe4q0C8d
JvnHbOnMmPqUKh6L2opz0Kqr6lRmTfrSh1yd/gizDLIExvPtJqfYYzP1ivdZ+NUewxaFl8Psu4+q
rCCkB9Mzog6tAs2vU3jvlNl64E4IQ9AoXpuyS6CX2GwyoS9GaWSaohHI7/pSlK227oeCppMdz5im
o1CCDPeD4+Uk/SvN8nIs7WQo3tfe7O5ZBweYJCvt1psK5kq/60LStEby4OI9eMr0qm3fm5Sq9rmn
1wOmUWrleyjwCuROuI9zbzbNHUNw29zCr+X9Y7GQJX4cE9Tx+EqNkDpgN2eNj8dOhHI7rlI1Gzto
Qq+I7ELW60XgJ3wGczMxLyQDBdGHRtLGGdW9URYP/Cr2CgHI9r6zzJIvegrdNLutBgnHzlOzfE1I
/DborjUN68ezuvoj57v5Yd226peuZVmn3lBuBqcauTIzit4+prTour3h0/JDDarJe5yRiQMOZUT4
XidVM364BgWcW4MrBjCSYP3zfKTfetd1uT/z1dEHG42pDLutLsuWJQ5dPrmU1ujcJ5xA1g2jXu/E
k3L6i9QIldhxm3TGZprJGo0TbcK0ntJE+KvbrLGlzdXfJoGT3bL95HCJHUp/hH0Wl6ex+Pa6ZTxO
v4bEScJIQLOFZzzYjDIGmlt5QowJD7UhbPrTe67ycUtmC4+yNvEHfRW6VXacyEzCV1mJ0/4+5VzM
Y1AU/pb4MVNtgApb3gD+8XIvuLOutF9V6bXGQcQ9VEyCLhc4ACOtlf9iT5l4VXp273hGMAWK1uBZ
3wnG/zGjuvzE6s+Mm3Ab+Yfq02wrxn66WmW3XqZqce4qLyc1Ng383VyD7gTKOXbjaD8tfkIIoD0c
yJHS2wTc8zHkrR6YOBiT1rxNrgqn0zHFohNwJlaXau2aS2mp8hAgD8gs6opMkyxX6VFTu/DIveor
X0d03uE1tROfp2DqXvVJ7p4FroGSxHOORrB+1/6Mj2axYXWT46prM17ssN0so/UQ9EMSz9NQvfpW
09yPPMMP2qqomG/HuyHoD00X3LlAfJ+uFA+hqM48k5O9YibZTITa3TdjcJGG7WWv6Cyt5LIXYUGi
ey62aCXX3am2/GkMgi/VJOGucJR1hhbG6KisJ19lzvksIkP7XkUI/Eglbeb5fwuw/rf4/BfxOTpF
1Hv/nGn8n9V7Kt//gWT824/8yTF6v59SUk4hdJ5L59kpzuHvHKMTwCPCPvIK9N74BMz/j9/+5BiD
36H6TjSij6XAInTiF47RMn93CYc8JYfTUAojEPxLHOPpHfyqB8eWhaHlpFZ0Tvn9hJ78o2SyTw2n
TNIUZsGa3X0iDTHfj8AEkBJjYL9ozh5cPSrQ9hUtwsx+lDURHuYsk53sV/Aq8MOlGQKaOXt2gUig
4EHKwUn9vZRDde+fnvv3mQryt6xtTINRfvLvNWD8XRqk5PONkkEl4klSnhthRimDU0mgpa7IXbFF
CFkVe5NW9YtM+akkU39076ZlEnS+mzjHDqT9DPkzSqtW7JrMNOedZbASx7ZrmM7GbVkEtrQ8TDFO
L16sFOHTonBCbVO/7csHMvzrO6ZWU0ezUaTno6LoMTKsSt0SpMKdQ3KZsI/0vPbNlVe2qRvBGIuf
Luu0sfGssL4gqX+wojKz4Rbp8C0PZrskNc48qZfI7geyLhtSAy/Vqudvw+qzNF54i83W7gsJIueU
4X1GICsz00hrW+TIfDRjamDZCtrJd/MNm1H5rNshqA7r5M72bk5m/NNtDVIrzAwepyRHiTxZZUPP
hnP1SoX3aO1ye5kIokitU8P91DjNJmu7at4UQVheKcrn33BOOWpTzmD8kSxlBr6QM99RCa/9uKM0
+R5NTp1vGxiQLJKjYhBVdtv9TAFt4ngQXWIG51pm6Y4+7XR4XC0Xa9Tsm8Vl30PoRtQITNOmweTE
qtB11ceQyOpV2ml7n0IbvtctwESkira/7jzWhW0tT+8gA5lwDgmo+1VHuBi8C3+CuxVAC+Hl1ONU
jRbyPX8cwnJ+slCjkAu6vrht1DCxmiGr62O7CcrycrbMwdt5Vc+fOlVDOQGwZeTgLqpdqM02c3FW
iwJGTDaeKOK2CYx7ymRyRnJvnl+CcF6XIzhkt27gbjB4oTK2ITIUq3Fc+zT6RSILmvVMz6vqDhVJ
ICslg67xXAlrQsdGxDB8N2nDdInPfX67Cs7bNS1OLJ/fWV+iUD5+w1BI+9zuOdSjEIkgPTlUEzyM
RAdTkp0jn4kEzaifjtNJitJ9gQ7U5G4Acc08pzrgmh51FCYGPX+tIbspriajRL43nCrhtTed8Eqr
Bwn2uzQguQPG63kkMqqJkzxonSjzDKrCf3ka/hd6m7+YTXi48Ez5JYTzZAn4RY/9/zeE8y+66/n/
JYTz36fiL6ciYdmnQJV/fizevzfj+28xXjAGvfdfJTh//9E/LVnB7w5HDwwN+lFOulNnxJ8SHOd3
oFEqbP7IxzqJaf7zeLS930PSU30skR5WUPMUpvm/JDjh76dwJnKuThGzmA3tf+V4/Ov161unVyaU
K+BhDzv+V28RkNcwTFMNCOlacdG5yYM/j85hdaT6/OUT+i9ulb9I8TFJ81IhdQw2rxdA3P/jrTIi
aDkRIPXG4heOlaW8mE326//mRchVxf5mQ1//RYmP7zkNBG1Vmwyaa5s1pgmkEq7/hzA8vJx/GSp8
tkoizwkgJfccn/pfXscAaGFIMHniN6lxvohFD5TzVMuVJItfXLqZW9Y8aU00SE7rDMFmnRM6441R
j/25OeJPioY+mdcvYvXMxIkHoydUjm0wh7O0T/qCGmikqLMbGywLwoFxeC9SN8h3OepBcMU+H0E/
TcPTB9fVhti4Q9JVkeOrdNm04O/fdpo6r00+q68qddJ1E7L0mXHnJ4XDzluvZDilNaoqW69teSC3
kP0frafx05OkeSnhhUnwyfJcxL1dTN8UAeTwu+T8odImLeJe+2IE7Z89G1pNJlfWVLLi1AkSxViv
SZ/Hq6itOZbNVMyAWhPC7tws0md3sucJ4HmG+aSC1BxQEDV2Do3h+1UMDkt+imW6409XolxAJFyb
EM+dap48u/Bmint9+3PEhn6GSKkMMUvbxTt/PuOPsia0Crk59KdDQuS0qHp2Zp/LVDVXpijAP0Ur
vHezOGmMCttqkJKrANu1FIWECC8HaqUKGxl+kyo65Kgiai6CpdQIm7AWujRFrsDaedBPUGdIsMqL
ZejgXH0BccrnTz7ErdWZJE5kje+9ZbU2CM3Sur9tRjs3D8wAfM4m57cTe2pdLtnL+id0BDNIV7AU
DxqJ60eDLybgQmABJj+frTMqy6q14mnwdH9u+U1RohyhgPOcClcKr7Rwi+/ESpNHmtLnBxAWdwTE
UvkIStAi2kWuFbRMa1Pa3+lOyjeM5MWNx5YM/Z771VNWBt2bTYuvGdu6r64bPL/JJm0t/6k06+Zy
LcQILpwH1nZ0mmnZJqmYrhNvCZdDm43Bi5OH/kff5+4adYSr5RuPDpsLr3CtS0v6fBNTWw4PYdqU
92oIxVE29UgGaev1L2GKNWOTiYVxz5LGcjDKBb+JrbP+zYPlJ4SpQcGLcMNBQ5Vy6b6ruQAMGW3U
J/sqSVirF+HCN3nGmr/LlLiKeOmVx3RSV9KK/JUNcmOaCzSS15ueQqe9pggHjYnMHIyyVFzRcV1F
gZ70LS5ltcSWXUlw59VGzbcyJaY4COb6fbB1e6uk8L/KdkwOmrIcFbFOGy86y9+kBYGGAtB0nxMx
Ef8wlT7IbMIg1EZ2bhNUu0zzcFt1w1rF7upibgig/cftkrjJFOFMH8vYN1Lr3NfavGauQa5R2Cua
gMGepBVbddW/DoHB+s3qsHz6hh6wVTRmayF5CJisZWmkxwEjh95OrolcwiiMNtnOYm6x5XR5QkRG
bSBodrTo7Ngfg/J9HieN+Kw76QFn8CkdeWoxjiuhlTIqraa+HVt5+talsCGERsIH4nluqvzM7sKG
4Woyq8fMoFVvVyNhsQCHCzRCbDDrCvcyNQCXJsp3tiGnmzfdVCF9E0MxTnuA5vK+U4mzqXgEBXGa
oFiKBruTIEXBgr1diyzFWZG39cxdvfprVJ7EJxu31NkzC6SlN0EJvblPA93CYa3IYfeyoEszEu7S
ZTzGFvlqZqfbv1Sp2W+4FYPHtJpGc5v3ekInsmDd3sqyMAyuKrD4iLWRLCeUneILGWFWX3jNlN7X
WaJe2kmKa1EPjr/t10SSJxs22X5Z7VZvunIMXUSqZDUzJM95Ea+VtF+cOgDbovvANDbEmYakUbOe
5HHZ18qNKiJrb61gDO6yxOCdGtCGm0TK1I6B4zII4sl+aspE7AkBMJrNvPbOu5cblJK5cG1H6q8o
2rA8zX1gJ5P5YLGfngWGKlWUtGX2NZR5+morzdc9dRqynfBm0BbbqQ2QqlIVaQQwiHxpKEL7uars
7BqMvuBWziwb0WmuFREnIsw3IfSF3kOmiR8cMcWJ1sig61s8YMamKnqww7FyshuMZbXeWK1q706f
iCK91UsuhLKtF+xRPThW1+RjVFVNc0L+ivaKvw2HjZfO9oNGMfc0582kt5XljFB7QoUvUErB28pV
fAE1zUB/ml2aDdwK9pS8WLqcJnI9f4zAp3OMOSfn207hC9A/cutEmaiqzwQ/m4qQINpnk42VC9A1
wTfmq2moo6DvWxmPiL1uvKG1rkBw53Vb0Vr2EhS++VoP0CkR4qaT+SLpvDPRIKmNpmA6lVqRjfI5
KGPqtnWil3dUJ7qKyY0pn7vFKoxIhWn90luq9iFO2+TBMezlsW5zA/3xDMWZrYSjAQ4bmQv5YrJb
W9xVt23lNh9N2FYfs0wEKruk4U51IZTbqDSUfTVnk2NtSrCW2xXR6wNuNlR7i5Wur43qxLU1jM6y
ye3J3bnOmh9JbC3vjKyBFzB7gfpVWUa/IzW1smjAa2oXHt5AE5KyUfuUmfrJJan0LJQ1Yx0ylbx8
MAo1IbwQo3qedZ6+u+SSlZzi5vp9SpNDkFtbrPvSHOEL5rHOReQvI49nmLP6vqckoMe7Vy8XS1ev
151c3HvOKuTYQEntkU7mih9wzHnme01ADIjTsF9E7nnAEFU2vFKtMD+5yJAT/HmBd4b81btcSbI+
gfSMW7ESML9RZU4SLV7QW4+JSE0EX3pUhzoEM4bOXtbbxhxM1GkJunAD6uTORx3zOfh1WqF3POnQ
A6dr+ZgoIb2QlRdwpY5TWnH9AJ1E9qJAt3M9FT56DHe8NFK/eg5Lfk8NQHsxpW7/vDqlgnnErJhx
hFzMMIHXHuWKTexwPN2zR5Prqvl03E2q9XS+LgQs0/ym/IuZU0WhF5dZLK0yfKyy3HnORzkGKMZr
+77GfmlvOiUCsJ28n5+KwnauepxjKTeMXWbnwvQmgQ2L9uIYyROXRZnL5akI5tCOWic3Lno92zD2
KndKHJOOvBl0WreRts1UbQ28nv62RdR+mwgz+VqkxY28UNLxXjo+oqBZTVUU5kkXRKsySFj1eQ6h
SvXKoeRI6rMfeyUqKIJ/7D7CZfDpsyx7+cix3bxNFjLnXWkq66hr2wIhcFPvUhV9dw2wW9x7rS2K
aBKVeVzrVC5RJzJ5H8q+f+pS4T0xigT3OGsKMGdShrtdGY7+p6bxFb/gINJrx3cGLEtM8mccsAFX
BY9xrqB68ZmtxiB/buY5MOKsa+Yf8rP0TQgFMMYZAtGLQLRYj+aiS9Rmpup83v33m8r/tnnZJ2aK
xzX2B7wY/mnD+BU5INOoAT+SG680utvKQOnF1Drvs8Xyn//7l/ojd+mXgAUXOwNwOO4Q4n0A7/7a
Kdr0VNo2VQ12Lj3nAUJfGqRhGclbFxglvJpYMr66eQGsrFy3QxTaestPvUDhbUvPbp8sgQ4PUrZs
rXOnTwuo4zJDG+k2pnWOi1c+0IwYmBu+V/t76tXqI2prIRhzS1zpQRU/hA4PtxR+LW8eNsUCj4Un
iT2VZfiuJ0e/Wfnsd+gmdXA71nb24Pfu+tHMVX0/YxxYo2JmP4r++Fz+DWX8CmWYf1Q2/3Mo4/J9
lL/te4l27bcv+dv9VP0DnPG3H/87nOGRMGNj4jEpLaETEEr9P+GM4HeaBPyA9GhiZNCkgiT8ifZb
gv9GeRZh4xgxTOLrfoEz3N8BQDyCymh1AR0Qzr8CZ9DueEIsfr3WMfgRK011yylShBKFvyByiWPn
aUIa26avTrtiM5nO4yAKMSG302SBgpNO32rulhcMHibebRo8ohBRyrG1ZwLuRGPdu86iN9Dvy6GZ
i3NjcdtnS1TTZ9oH5U3J1Hg1Qg7EdJyr46CDGVOgzNRt5rKRYc6mWXXFsrRZSOrGjZwoCxeFr+7C
VrE1F3XzrJkXd+1Y6DMAXDjdAdka+VTqBvjXNfcOdWaPrl0OM5HYy7CDZuv9nSlS4M6QFJNn1G99
ETdiHS+mKS9fLTgQK1J1sSKq7eQXnR28764VrzmqS2Yc+07yGMwid230w6mJ8XFQeQjvrpsz6RsO
+lIHqcU8W0hBoKRLsrIRNW+SIfXjWS/6o0ynYE9Mv3Hul4t73dVlcSmr2nk1baeYjikGD5xEY2f4
L0M3IQhR4BlmkbTx3GgW/T80bFAW6MBUqR9qVGyPk+GHqMVGFmoz0ZmzmYuZTwwLcvoFkk36We5q
eeGOmbNuTYpybueiOh1XoYPkpDQGSA5Z6weT4oUvHiX8glwqU72Hqeru5zGAQAe//5jzZcp2QCaM
iFnoruc89v/guD0rPfLbIQyhGhnlS0lf7UZmfB4DO+8mt+ySEwYp7TbIrfQrcQwXqlEtxbId2nRk
fF+SdoxNw53P5havtlSZ85oC0VwHc7rI+FSsfkN3IX1xKmUG7EU1bFxzCs9zvkgEXiaFVwt13c8L
BwV73jITYaeT+QZVrKm2VaFQjroevidouGFTNpa8TXDLfM5qEXhZ3C5ODW3F41B/5kZ1PcsUETxW
aetAmzC6qdQ166NFeuF1wFj+NNli3EtWj8eF8ESqV9NyjRcYdRF7RsKsk45TckzahEHC8uSFn7fi
Fm9/dmxs/W3gZIqSai6eNao63BLICcHow9e2c/3HZLbcOfJqp3sc0GZsO7D653xGX30MnIVvKOlm
f4vaornw7c54C/USGgez8m3W9LFhrTGbFZoCmAtdExeqWXoo9wbECe8MuVVwLb2Zb1NR8r1xnWl6
AYhQ11lekbyYuhVyiklg/triX1jjE4i6xCmQ5vXJxiyiym/balv8oV5hzGQyHbGeFztRBgVh4q4K
9jRMFHpj/iGCoWEDeVZqYo85zj6yPuooEcLhBotmhKR7K8xGfZn4Y6PvASPY3bkksjg0svmmq+m0
3bgFfD3+u2Y6wyZnb4uG7G+CM4t0u1Z2wa3c+u57v+pKbmDKBjIBOsvVt23tuF+pZCVoRiBSSDjT
eqTZONgX9Vzt19WLLKMMWA3Hgf+FRo4t9E52LzRR99Es8MXz56WB/WBOamG2wMlBiduPh6wme5a4
lrLzNlOGiLn6kvQGk1NtbTvlOm9ybE43g05Cf0cNcLDn2OC+5OD30ru5CbjHA5Ej+ptt6bzKGZ6N
xkeBHCO1uU13s10g00gQWOG/wBqAsUqV6VegvSY4eHRcBoiIVGFvSpz9CFP5IXnEkjhUB+yQ/hGD
Z412J2DpKl4Nk4yRZRmSTyVSdO8K+ZSfy1tzxHkvuuyFgbZhas4IIvHIUy/cTznyiE/CtfnKarx5
k5Pklx49N1ezwr1hdNVWjcvTmAWPi0Fw6iSu2PvPptq6DILqos6CryDt7g2ruJBOf4voHbFZxg7h
aGpvtSFvq9FBM2i7tx2hnn27Piep81lOA9qOst/qVN/ySYudnTLj5JZfPwzKxZZhQKXxPanIzlq5
b5p12RQhl0xgTveBU+9mP/Tivi0/T+rLQJsoMtJ6awj31V/Cu9En7qCy76BhH0Vvd4ArwwFdPea6
5TyxzOvqZKRpm5dMZJd5pi7DufhITXIp0OdqnLes8Ym1FdrcIUG6M/n+hTcV/Kfxmra3jerGi4p6
xJveDnfJGrw3NgdSx6gd2aWDSnrdt9RHneXtUnCYANiuvutxB6h+0zbVhRHyORruZ+kVL01XboY0
uLcA9/rQfkDkWMWMAEALTt5usmE8JhDJgTRB5WbMIhExXTrK0b6857XId5w7216P4RJVuc2eLa3+
UwzCOpoGSnMa7jR+tyA/H8Kwjcsy/JKrNA+yM54COqwRPOGcdHu7RtlCNDdiXDO8yMg9GRHG3mEX
mXckPHDguZwe9GxzFTccgkFVn0zDXR9s0cSFCEC7YD+5q7hLgnF5xkNsHsx1DPb1OJSsBG6Ty8Nw
YpWnILvJuId3XpqGL1nj9sd+6lI4aOsnnWgGMYWzPqdjkO6UyL/81W13/VDbh5aVpIgtZIkHK1uA
ULwp+e5cyriXXCigciWuqvYkY+R532xU1uhtjgM0GjupdmOaXLD6TkdZpuxrZvmhw5NoRz8ZJD/g
9Umzd36T/hYw97bheYzfpfgxJkNteAfOvm2Gj4AgP4R5QbWrSyo/VFpqaly7zGXctgmCX8I3LSdg
hlahLqKR/Ei86xS3xJJ8pKifIHDcC0fV50Zv2ZvW8u4T2nqOtTm+DW0GvNk0zuk4r6ybUfvjNlfY
dNR4l7KsYZ4ycbO5w9WYIMOs+lKQ4Nof8xZ5LyZQ1FDlobB5hJcqnCMGI3NTuWmJhQj8Tvb60DpJ
gUmDK5Wycf9s8NsLZZhXRj4+lVX+ZTpguNjwxKEN0nuzbB+o8NrWCmzR7goMiD7fM6K1cXgyysE+
49Hh723i8JF+lJ/Ybj+Qa5dxHbYvYjL2Ab9elM0mD5XO4rGPvAM5UnKjcdzu6+5kcC4SCZiKAHSY
m6+aDkTqvPihyXKnCwl3vpXV+JNa1b6eyukefSFOCGsWDGXTm++n7tGv5Pq9AJ1s+mDKtsBNvJrn
YcbI1gmTztwcOaY+UIV8MBJVC/br8dIJynprBXl4MC27u06zzLoagkwfdDthKZ1q0KJSZWO88h3s
CQ1+0p0241DJ6W2dTYxH5tcYYgh3QG+PJLlcJJn7ppuRxPVhDeNiNupLnCbUVEj4Dy8AUchnniZm
mEYgQq8oqK/cPl1vS4mZbAjzs27OqSMheAXXqWdu+BVOrt/hSgbBgUdMDiDs3pNndJ0AeUWCPDw5
ps7RNYTcUlCLciUr4mUk5kcnw71MsiObg/dYobg0HRw3aqU3AKSYkW1TpvUZCTMQAhamvPScBzTl
AuKEbqc8KQvLkSbWSZntlhEnNCp6OBqfblHHorpEICgPEv0Chp7Eg0LW6xTtdPQDJ4lkOGJaW61I
4KM9lnq4dgajirjCN6lzqlJW+yWQe8NaXwcxOIQfleP3iD5165s9PFY1vuLbqW7FWHzzWV2FXKCF
7V60eVfuglEgWqC5VWuPsTx0Ciy2sv0O7fEq7Kcd8BQGBPupbRYipJdWof5t6L3AxmwG2Yud9V+1
PZe7UGPSIKIg1oPD+3G8ZAd4lp+1dviW9p7ej2VysRgSj7ilvgOQ681KNSr3MFYuY6Rau/bKh7zC
9Fc7kxV5hBKxdCTPBvYXzv3iJzHcr6ReX2gy3ybIzB9tv9pmotti+mkQBgp7t9a62qPL4PK3OOFT
b9oXTXZ0UOVe61Yn53p1TnWMBCMVyEqxIKDiJNWQliF7umQISs/9FHJRTgTorLggN2Y+HEqfiCZk
s0916mENlFm7mRrPAThEeSI7b58jh4oILitjPnp773XYmauZGdY21xCFIzFhPegkqwiqG7cRmKV8
ZKb9MvXbXAv/omYdOkyGIeHwVp+31doxuQHTwW6NJLZGYmLc0qdjUecVP9tZZ2bG8aZZXo617ZFC
nsxHSwzWeVGdLkdYq5dlnCX1j4oMi9LdutO8txenjkG1yWnAsYDUJbkCEO2BQEQQ4xzDoejbExbB
jH+sVxG7KWYI+snLncE8dBCrfOLarXfLavhXTjNw3iirQPbdVvvcLV7WioCjacYAXQMOMkYbgjO+
GU5DtY5PpNcWqXt7k+e9v+lg5szKNd91TtaSmebJprOmfWrzpGa/nfbLuMQGH9m27crvplqv3HDo
d83SPvMItnYChnhXeK23C4EEz+pSVjtU00C3I/lhsswQ3FptSe7maXZK9C21ERerdEwei+up1Hr0
bnmm+lHawC93TTISeZCjXFZjeWHaKmSyN2AtUsw5pL6fpS3ZainRR3HdavE5UTUOTSWvPIvHe6vd
Gq9Ule8mLsx0pG8ZgydDsZIYFce8Prh2e62MpccJRUjTxtfc2L11MlbhgeecQVHO5JFcrS2/gl+b
W/oKhkcTKhCHNy+qTOPT4fDBbuiXWy1nEYdmY2/bcmkj8rHJbOs0pZ+T771YtnPXc9DviySxdsqt
rCvlqfMU4pzes/4NhhSrnJAg50n70kpZ7Ce8Co+ZyG0iRuoM/i4199j65nMnXF5Xu9+5AiK0z7Ll
jgln/S5wrsRWrqqd1s50yY105eAl3iBnF7u8WPF+z7riIB2MszFLsS8Mw+eMLvdsXP2nhvAmlGi1
Gc1VFzx5eeHHVZfLfd57G9v1stexBPatUMdv1tElxzoQ70QMvLVNL4FJQyx4eQyMMn9nLT4Mv+gt
aAK8U9bScvCuAdvH4m5sG1i4QZt3M3prv1+rtT0I32PeqgPs92XQ7mToT9BFwwj6qNQGsIB7pFlv
SfN6K09M/qg7IqocMeH24LxvSGHpizU5NNrtr0VP6pNhAdtT43fRI47eagFNZLd1siXiKs4L4eyE
bsR2zKYpSrq8vlWF1+1l6WebIu3aH6lAU/pEhbtuxF4ZVOmX1qjSysl7TWbbJXrG+uh88dX3tr9z
msz9xN9jPJd1T6slQm7EaHTMzzmsGekNMMUJldX56Fsbkeftlm/bjswm4d9ZLJKE0ZWQ6h0+l2Qg
8tIs64pNJbyAoZze2Vihe4Iao1eHF31MWzuijkozPJFh2/YdUxXoG2BSmF2IdLIIrDPe81CcexiC
7kQwHDW/7k45Qb33q+I1MGj0gwtc7kOXU9vv5wEJRs8hVwDOeNr9SMaVg7xq1DYsKKcmun+Kp1Lf
rX32H+ydR5LkTJJmT4RfYOBYjjuck/DgkbGBREZmghODgZ+rbzAXmwefri4yPS3S+xapRVVlUA84
YKr6vqd75vWMe5Qyrv7Qck5nffpqckd6/2V11tyUQx33ExHlJecj/YXO3rmsG/+jiOSD0cbIHcH/
2QpW1OIlhLLcFFaaEVHNZkBNhAK0DZhRofaAN31SdurNj6S9W9xvdl93fHEZ7qMi9X825RhSczZ1
k+pBU8uo2XPHkupc1zZPeE2bNtbCz7g+f455uAec8nkgk0GIXxF/KHxTfeumU/YnL12mUXUJRhMw
Pyf50tX6mhclYuNXNvUqqMAoQvVGT8RValM5YryKRCRyIwUNgyBCQcEAGksDexRmmdS8MVXYvnam
r4zASXua90oWgdnYDjdkTPNkndEND7eowJmyanmOn/qGcC7doMlzN4xX6nA9a8tUZewLf1tVHXj8
FHUZrZ6xdrjTJm3jn+u5nOKgK2JUPqWRj1u7ShCKYfSAe22rjH5KSHKkypBSnqvUSShd+cU2o7IT
huWV2WtrnYT7D9mnEvSYWSX7KfiqzZpvO2X4VphqpRpyj2vYGVm7Y1ijV+exj4301QylJo9+OySA
GfRm3LljWhOVdZcHLc/L9IC9hm4fJ/P0RXd6+1u2ZHHWGdn5aVP2lNWrSKLN2HCHrDcOsDC5tJ6Y
noim92KZkfCgnminkUkkP0hIq3R3AyNzgdmn4lKM/ZRbu9shYuEtVdYPejnlLz0RqXRnV8uaVZ9W
C4vhvCp3DjTEkCbDHFleJnZxnYfOMcPXqQMc2JmzIVGAuCSMbOYdDTkmfUMqbEhW/FE2FbQ1g+B2
PjEYhv5Re73zjm7V6ftm7Mtv4VRTdBYgNZ8smvbLXRPr01ElpOMCruhuZ3vy27NTDAXZekyXKb7D
OC+ztyHmQ70tnhcfrtbH2y61HyPSHXGMn2aI9wR1Ag5TZ33yjmlSJ6tG8agTZb6Dn/2squIgiyHo
xvzLqdS7Vzrv3M2fTZsHmjbDheDJDLQcBEnh7VmzrXmtAXoYvbk8DT9pFz7ZfXJuhLb1um8s9Z/x
5H6zSObYtL59QCvR63usTRXDddHIw1TVctWzAzL1ahnf2qHx9dMg8U++2GiUkAWxt6tSTyOUix20
ff7B3hGuiqiDGh+4OgFNOsaQfu8EPB4SW62HlpDGYzwTsF/PnROtzUEY3hauRKtfdDE5N6lxgQUl
r3F8MND0qXUxtIO51jiopa+a7f8s0mjCPBG3f3Bj+O7RrlMOwIPS7OUxKd9plwzftaWIiscjockV
bTwMIAO/d7wfyJHFXF5Vpu99MZMwAqTA2o/9EEmTP2fuBnDayoIci+WZpBOFdOZlo3GEctLSvfRr
awhI/zAugwyI+51LSpQz71HN3IdXnCfN+Fwg0WoD5qCei6KKJl0w5MzIjSoOPf5KJuMBKYleXrRY
6DVA3kRd2vR+526tUNd/pZlp8gYJhYhf2zTPDh33Vg1ZuAAnkjzTst3/zMH+ky0LyOr+C6R32bKw
a75KNi38J2MwmEU++29Ur/8X4xTLd1mi7ZoWCPjfx2DuX9j0/GV7iu1bruH8I9Xr/sVwis8zBNMz
PI3/MAYzzb9Y9814TMf9p7M7yv3vjMH4Vv8yBSNuY7HdF+TN0A0h7H9BxflHZCgoT2H1nBs8fP1g
dsNcxdwqaCTmN1p6KoIzKywFQ+SQlsuxXJLpSnMUmgWEyLrlSNI8Gz7OffAYGqCruSIK/sUsSmtu
c6h0HlJFx+raeDMX5hR/JWRIfeuAtqCmGYdlALux3XMzuOguea18L2bCGeRL8oazGHm9Xmm/yiLV
eF/YhoyZt/euXYafAw1SUqXdHZa9g7N0rIBo5R2opdcAXEtvqXQvtqd5V4sd5k3gLiTueJ/Uj/ep
vWp8vmJyH+bf5/r4WKcbI6vhz1woX1ubCwKQVRU5hdnj7bXihulTxi3AABVNGwbZghFMd6KAjKXz
rd85gyIlLrya8sR/RuXqvIUVSEISttXzdOcU+gVZYP0XHAIGnvQ5dYR8cF1pX3jVyV2mC/KAqyYL
t9izys90QSLCOx1R2Enz07wzE9WCT7RtSw/KvVMVJD8gLOJEb7wVyFXLLXYcx9O84BiJSeB5pS2Q
hjTBNWbdJLiYexOOvvZOdMgxqW9e1BhIAu/MRw5veEY7xSkVZgcoxB45ouV3VkRz6O6tyFLBkGhJ
DU+SLWiJFfr9W3PnTRBRwJ6E/GrP6Z1IsUfdeK8XTKVagBW6jrAr04Kx6HeiJV7glunOuUx35sVt
2ubZuZMwlaWlD0kLHrMgEHAgYbfpdNm8o2NOzuEC1EQxaA1EaXtJUozM9OgW9ia+czjancmp73yO
WFCdjFt8tyruBE97p3mS2NQY34L4VHfap+liwJ87AnSngeSdDNIWSChbcKHi/5JDyUyHRt2JIjDD
ZgkFF/ZlinLnaN/po2kBkfIFSSIJDZ0UjTZ8251ZkrBHIEhgle7K5/h4IPUK4dQssJNDmfTgLgCU
urNQGuLF56T1UemMd1qKzCTKQP1OURV3oipxMrRm8WgSZc907bNb4KsoWzgsV3XZC2oM57myxo6W
+YJsWXUGz6zfSS79TnXld8ILdbDaijv3FSG26FZEZnJcdGX/07iDYqkS7sO80GOhHvG47DFvveQL
XTY00HtkqXLjat/xs/mOog2I7uo1aGv0E42j+mZ5unVL7wBbdYfZWqlXHEvukJtRE2Y17uTbwsCp
Ow4HgUkmOdUgSqiTs/f0js5xSpu+VBG2cjMsbB2YNpgdFCRknBdC37FQChCvEyavs883/FEspJ5/
h/ZadxbXbiH5lJyrag0Z25C8u8N+oSenKIj4bY7aHQdsGdR/R5Q7zPBi+vmcRhd4MEbZB0ioJ8NP
Z4iZHYdqQQ0rq2/KgDwfCKK+0Ii8jt4nXBz1j1hgxUjL2nFDDTe+YRI0XmyRhfjrFsaxuOOO2h19
1LpUjpuGXe/QZndEsuZDnmhOAk7WBW0eJASMqf0czVvQgHyFK/+OXFJAun/GvKnGHWubgDJzUQ/9
OrZazl3MHme6r+DeO6fuAT5NMS+Sr0SYNDwm/OSMxVItY1LSutc2RSy11pKcRrVVp+kHQ6jkxQ8z
/1ZgdqLQDcNZ42g8IGHzHLYJrUYQb9JlsYOkFrQMACA2e7hee1GXGln402Ef+rRVvkytgK6W4UMH
t9PRmp0CqFvH38otUOYJk5aY82ruavR8ReGBKg4aXrqakPZBVWhUWKXY617gzbFxVnR9X6OsWeaT
jZOcdEAOzJgQmzQsYan+DFBW50QWLQOtRnfdAG2SSWlnLPCq3S4VDry99kFyZLjSnc5F4CWzeFko
6HAtM6wdK9goaG5i7Ea/jlg68Ej7lHGrmWRxuKGrQ9Rx0g3tdUjM+TVM+k6sDdExNWGM1n1ZqTJh
xQc2XUGM6/y9ZAIhulbIIW5myTQ+rVv6k8U4a0iIhGbuIRBf6KE1vKNMztslZSnM6JJow9DZzjRG
gBY3YqjnL5ki6l+XfWsaW70yrGifC+U/Ioulue/7Y2uczH5I3sQMzBqEJCQVFebQzAcjtTAl8u72
H9qy0XLS/ZquqHr8Mj2w2K2qHudsslEhTCxbYA29+rJlCE3RC24wDL4l1nse507Fn0JQF4161331
5qAxCCarmG552Ee4dUceZ2vMRBoBvgzjd1BjfODQWnvp56yGIn/gWSTSTUfN26+LqrVY+Ua6gprP
l0ZyzLGQFJehTzx0VRlL00z2FER84JjiIKUIxm4+6z0vjjSLXwIaQm0nCooxmEYRG9sIpU6LB2LW
mgDdEK4xt1PW8JLmM3GPIq81uvmDET4l0h04hhNN1ZiL9NgEp6wpfuflSKcdbZfPRGJq7UDOU3Gh
Km0/whZB7pr8gHORdltjSZwnSiDPq/HUJzi7nvquQmal4Qu8ilBQPY3RRJpSDL7IgxxpBABEPb3S
ckwZ3C4hYjVPuGMxFbtfXAP1Hy/sE9RembCe5i7hh5Kp7dI34DzxiclxaNc9KZh0xQ3IexC1SZwx
JLP8GWmDfuHk2esnz8jNX4MtTGovLaftKfM0OoQwGPMKsKt8oIlsCrIRrGRY5Ij0H8a44E3njqn+
GE8FPc/K0vkD9rpuv3DYcyNcow43z2zZ/KYR13mVdAgSaI2uezYic2TlPDsryP/clXwNJBQzGNwu
RCG6s6qXoFIVivzqJgMq9lxXxKEnOYYpmLMWv3uJbFBqqc6NHoe+lb/gyoZno1Q9892qx3OBF9d7
dIoq4sVxZfSACgYcuef1fy/IcjwMUx039GVz5jd089VN5lP4ndXEe9ecXPELWKMH3YzCNf/hxzy/
V1FN+bsJjTxi/2zqqnzDad/6ziPNK8ke1PFLbJUtPUndlz+I6ZHASRl1f0dCNgLvUeYhRXEG7g0p
wTr+ytgWXiDri2IF0HtvWZtNFyBNVX/8yZmZSWVmnaypw3mx7UhgvKo9K38iUM1mCyxdzk/ba9xH
5rLlLZlK7xbqioxEFUbiZnCRNxsdH/+8aprapGrkLj9tjdS02ZYytvmXm0uyQnNdFiTQw6nyg3Ku
vFNRWG2dbIcpGt+hpsJiOxpmSNjGEp7cCZrKFwxEOP2xgoXEX1paEksvtJMIjghTPCj4wl/Z7OLI
tZTgo4u86JjiOeowxIJGMVpN82POMnJXvjsQuWgY4/EauqlFJMKOjXVBrFjRshpThh4yG27TZFnD
NmXjQrfmKay9acgAiD/RimG9s3PPYIBT/cjLmZYqm0m09NuP0p5hO5ZEYxUK7Ps7mCM9fnel5Hd1
kiwaPP4KbZlCjDLb/+qjSJA3mZ0seu3oSltBg4ZIcOSOEFAlBgFlTrv2/0gj/p+Nhc6y2ez/T5T+
r+/m9z8ypPcP//fS2XH+WqKTnEqEsAyb1Yf/UTq75l8+XCJjBhYoA5A6fJO/EaQApMIERcVYb/Nm
Q9r8d4JUiL+E5QI4mt6yqYjQ+H+ndMaO/8+ls2l7Bqoi9nDzA1KrL5HdfwSzIwYJGZ4WPVBpL/Mv
feLuPTSytIPaMLntZHY3gSAiaAjq2qrXi8fq4qs4O1a9394yfOQfoSzch3qGy4flYoeqD+XXVfmQ
EwyIUC/PY6fwgKMl2Ea0J/ey4clRmlr7aPsjkzfLz6ydcPuAIwZJrhZKhqO0xF041R9+5UZlkJtS
d5goFt7Kza38F8kr+/fIEfDaDlqE6YoH4tGVbYa0LAxvuctemfVQ8/iyBBVJHXNCWlf2jBrdYedq
PsBUNZilNkbeYVlt53qlTU5xxBTWt2c9643zkHbNIyxljDExRagJdfrHpnBI1kB2/kOa2dmOEAn3
eEMa+TkFCTrkmowOthhewdPhhiyzCN+NGttFQwPwCJfL5CBqXpI2TTY82M0jx7CVsAp01vOc3OZx
yo6IW+MnmeW3KFbIlgHQr3WfGBcLQeB7KJnhApi6B6bcS/JCN6M3RRchWU9ArYHrtNquHTP9pWZD
DoMJ33sb0r4OZp4a+ICqbG8YOcKiSoM3xa0Qbtyyj9jfMbJ6qewqpgMaZyvcVfHErLrEOeRxr5NT
P9OZi/wNA/T0QE7qidPT0U7L9xYW1zPTW+qhC4m4J66NjFOfKFsBRUM/MJlsb20ZIt1NiU6EJcq5
YUZMyrf8KY0VxXt+jNoyPs2FLlliwG3MNxKYGTljiswcybHaUdu25Zhje+w1x+WPzQG/wiHOkvLn
zGEUxFDabEuICXFhCORUy/a1fO1IM3woa+tJlAkzW6tajQXkWUSEkOSyfJoaPWIsg+Uepa27H1ym
webI75sxVeIJ7vUbQHznke9QPZFKQxOmRLQ1/bjfFG1d7FMcDivUilWACnFoH4vRHryt4REHQn1I
5U7zNu9tZKBo6o9hJ9r0s7BbX1mbfhj8xL5G9EiI+EVNaRf7gtAHu2WsmFiNtc1klHhLPleALwbW
LONKXGqhaejYR6M0G4cGScn8sn2akn6aE2BlCnBBOZoAL9EIC0yVVctArVrRw4eIoBEUgBVZ24Zl
XKdo6qtfTjzL17BwIEGzaTo0/pR80HdO0dLZun/rbeQnimHUU8xqrAK2LlabDuT2KVdpvWVUzY7K
DsvSXjSDc+7yPMN5IqT2Y4a/OEW50a6ZQ7OynD0TV53q8Eceuv6uRPz4szRqH5QvdC8zCVGdvliY
7WLcr0/zGLHvCW415kAtVfTSD1ZxcmYguy2bKLhJDcSieIJ3jIj57tUmszrnSpUdP49DJ5EHNz6/
fj1v2UrFkDL3UdnnpVduICftY9pPDpV52N4GhFeLXvDF9Bp5NhigsNIs9hAKh5BtP2yM308EAVoY
TAzEQITGL9tNpjfiu0xstFjJs2WKx7k0YZg63jC4PIznCSvgk6tm9+x2erVJktS8QfOY7241lwBg
OgKpwSjt4SjGBo0sxyVeR2gH609sCOOlqenFDUY+A2enZfI+apq6xURLR7Bz4T7rFsh9XyRsAdGi
2n4jQo1CThLJdI0YjWU6pgEVF8f+WEv9HQUy0W8al1Drts3UKTJSR9tUuqauYJQxd8w8e6Qbw9oJ
Gqf+CrBajzBTagmDajZMBCGl4YPsOwSPliTQmRggXaQMh+QzCkOJIrWkaQrLoe/jaJypAnOH/522
1guuOf+rYAN7CAdnthc9nOzndBoTWqS6fvNzmT/PsW8eYWitL0Yv4rFABXEZVc74n5MrZBTlXDC6
JaYenR9npVF83DhbGhsnTbJLJpT2kWgGI2+UAu51MO2J+N/YH7gXIVVWKIa27uSox1FIlJ4Quido
7vC7kk6zA8zWZcCP6hBL6BJ2a3GiMg86w9kAZy1rM0xKfmW4P3XSwzsZ6aOiLxC3fAiiaKLeBhs+
RO2vDKeKA8u16n2q2QPuWqf9doaOERpPy9UoTe9ahiVzGpH6+pUmwHzskQs8EkGg2TlqbEfBg9Cu
KzIdKyvCZaT5Qm1GjJkdsjDssa2RabcWQWKPp8CsQa30aj+qeKJ/1RQXafKUZitb5F2y0i4vOB4R
52Y1wVy/8JCg5WHbvtIPB1exPcvjVKvy97Dj6Wi3LJ3lyOnagF5l8jQBmt56x613nVg2jGhOc+XW
U5/0OsdHhwxqhW00ZYcCoPPsfvsoipxDw2KWr9ilFV3GoY5+0eVVRWyEPIJGM8MnTVlfXYUQtchx
37LTK7qy8Eu7EK1v1jpySeRxdJN/FV0+vlm8qXdxzENtnUZu+AOfdbgrivkCS17sYc2Xodq6AHhA
mVtAO3m9dZS68eBnto8EfPyBvkcdKTHNN2Zz+Po65Yl3CPN4PfAU/tDHWv8JZGFsZpF1r9z15DVL
Qu8ARTnf2M3BHsN4qtfCLV6xdV8lyo1Ajb59qm09uxRN3W5VYu6hF54TTxuD1hmTbgupfSzgJsLE
EZduMtpgNLp2ayH35Efg9QxSJ1QnPXaKXcSZfscgIA+KbNQvaoCfYa5eBTLxnAPvYQzVphHvU4jx
Y2JRloNPyHePAcu60W1rUzpiOjes2D3SPVI0wNpwNyoGeAmhty3AtP0M+uJveEz5bK0w59uQiemh
Tv34vRjq+kq7q3wW6VzubD9XO5HFGLNLMQWDg/G0SxkoT0i9HlC/JFcbpkUIB9Jac5tunca02YT5
kpgw9RwPJo+2elPGF2qTo1fEmySbt3Yog37w9iXrV2KduUfzWZu/RdY6D+infda8GeVIVySvht3s
OjC4SWGGj6geo3cUDTuMIypgevq7QxDzo7LK4YonnuMOzZ+Y3rdbabR+z1ZIM+FScOGNQUODZV4X
+W/flf5vM6TCE+R15qDUWz4havRr6wOekQiESGSR/dmolwBSJ5sX7MJWMHhsz1tVc+zQIQvD+Kvv
6/lQ2FA4TPeXd/1Uo1EI9feqWpYXVKAH8H0Lb53SjUjHmG0dBClX9SzExshG7adeoWOX5ghZqPKB
HmCiE0RmLN+r0bhF0ODYCem7EpqisTJlH8Ry2o0WIaWvWXpw5IA6fA6d3m+bqjPWJJvtTZSwHL7V
3XAP4DZf0Xg46zqk4UuP3dlogzKDuGQpC+tMao5xifIvTTZH21YvqkdEOZxe+zRDKgHIammR2sd0
MJ9gA6Zdw+V6cEZWGnZWFySRMx6dJjfXTpQ5ATyWs3MmUzvqFqsJyo6GQ0/emZE9cHSy4OV2Rc0p
e1+cZCU+mI285G70rkVsJqn95ZxZZ6y2CrUTwzoHsnF6DM1BruEay9W46FnCuJkh+MT0pCRwl9+m
cZAkaD6HvmLzrla/zUMZBjkhHnYLuPzN0sZkvNP/Ns0m3ig8nUFiDQSV3VO92LVNwxvWnKkQfRfq
wTI5n7kJBKg9O1feKyhTFKLzAW1wrKI1NBcCB4unWmMnP1PkoytrUMY2rfnoOif27dU6DFnxu06K
V6f2HyYhWfQb5dg0igIat3JpbYMfrkJGD/x/fWDneGKczDyG0UStklbdDx2D2u+OtiqhCqWJvSKH
vM5zMa3dVE83LKtQBKCtz7b2q5PKo2JraqW7BdMDvWNi/lRGxC0AWBqWgLYvHRjK1SxGuZWVxcTe
A22aio5/g3hSlntmymOv+lZ8wEAySYDK56Zcvs5Nf2gaLvnUMQKEdgpZAZ0T2coY4jbZswYvW4fC
z9ceExd60OGpZQb1lJO23tIjLDealrJjKbPL49TG/oHlJ1z8PFV2tHCRl7B780hiX9+mLRQWMblq
3bd0KMMRTNRws/YZHXhz0HJvgYmGXd2QF8ji7uYV7huikGxtdzN9fORqjHYC1u5M6kBOiOemm/cv
3bzz2PYZ1FHen2o3bTemqSHCd24pHvSNNcPQRy0K2i45OBZp82Lma3noyos/mhet9O6azaM88tTt
92Uz5s848OPDsjL4gFMpwmk4oqPXBAc79h14xuF/sIR/xRII0TLr/6/BhKr89b//rUz+STP2H5/3
t2Su/xfRWQcRp8H4gv8KEPDvojFaLp5uk1/EVoWr07T4p7/3VWizGJ7PIiMCujqdlX/oq5hQDlTl
Pr039ltRh/x3+iqCPO+/NFZ4EiE7czyS7fxn8Xr+U2PFaxmbzaaRBa0cfuW1Vx3mqG02jFJSsl3u
KBJa1hHi67k+oeA0yWoIynBb79Ylhv0fmV3056rvEqoWWERK6bg/RGVsH/WGPRDuKH+NVt55KGIA
0sZil/nTQz6M8Smu02I3hd0Xzp9rRMe3dd9qhR266G8gXoeqSHc+c4o+ns5yINs5Dn+U6bMBgjwd
+33f1ZSe7Tr+JkzSedomns2bVdX7DpbZzLtNA7ntdQzd5qsYjI/ESzbgQDuZeUdKvu924u4WdpcY
BdAAsVjV6maMI61SmkisnyBTggeIg3V6JMsYNNZPHR98Sj6B1NxydBhWba12HEc2rLeDbQ0PidHU
69Zw/C+TOTAdCw24LQ53nfw2ovktpW0f8Nz6oAAQB9nO77Ne5NukkbR2+l1fIXLvoz7gcNgcXNRK
O6xhG125Z5RLR7ujYpQmA0BnNRW58QzlpK/wWzKuTdcmzzAn4kcYLhlrWR0Kf8282la3tUv7QPCK
038d1M7rVMxkW5NeO/sUntKqdm23r1yxLjO02H34A5feWjFIYEwZr+quf2XnmlqnYYPK22xXHgGZ
NVKC/lGTh5yRHUuLV42DRcztfHZBlFwC2RtrJZGcOeNazuKRhyj4sM6il7qbPsbBPiMTw5Hji/Qn
O3CHbx5lX7FBTScj+0voSMNHG5qz4Py2k6Nhr9rWRibU5sO2htV9mqrkyUH96RzScnDWblQdozCm
yR8XTnOuzWLgZGCaL0iVjJsBxPgeKXPa+1PFoFCbtr4TjVvyGIR3WGC34rIMf9QiPOH2tg79smXC
VtZrrQ8fpvSGa2Op5ODFbnbUSzaDqFy+KO75Xs9HD0miAmfWOX+O2SbWzIcG91vjtSuE0mdjYL1a
RVx75Vdhfs14uFBSpYdlicbGqsXn3JZ/2GlQHttS5KhLsldbk9cqTMrFe4OJe4IifPEIrKKKfRtc
5le2UAWgtkf2ZCgONBnnraHV1iWaXIYhyOJkegGhWXdcfPqAa0sM0c7rQeRljnlpqZOwmghEaWo4
M6YMOnMYeOir9uZk2e9qyN8r1uMwqdOmpY91ndIEmT47w7R+65rflNYrm/Vn6NwuplGpXUNbltCg
tc/y8tmevC+FHvSJLDyp5d/z0P9oJkNj/0tyqJXcKW+pUWmvrGFJtOqrGsM3nQ0Qv2Yncq4IaRv6
n+CskVXB/utUyCyZztNuz3yjql6oARgHj79sAjihoQgdfsASPo8+LwzJt84A1/fDdz6BOZrLmWKW
7Uq4E+M5pCTrtKFdxQVAt+jF7cecaU+6goMPa//i5GyJAc0h8Ykktz/MGKMGLpdVucyZWosGXvZM
1YPHnCo3BKymKgKjWen2o9Q9SoLKAJbV0RSrlnVroIOXScPxgk6LQ0FcsLe4U8PeoiZ8YkPGJzfS
tYPNKgw/yfFv44wVjbk4hOF3i/qOVo4iBJK+sb5ww2xza3GAmdW40eV8rF2xNzF5ZYmeBWVLXh7V
//CRNltcuWKr5/VZsTiHUaX/i0USQTgcCYif26TX10jKVjHNL93+WWjllU1Du64hs4JtCuXBjrJg
q8UdCQr9qITc+dVIVThvkugh70EH8uiRBVQ2Q8DhiJLiUHTG/Fz18lKOX9LNzsXUX4VffYy58RgX
8xHsnqZ9dirBf2jLFzgGmfKvXDILsZE8hewIWUtXU3vs6m6gm5lOoC/fUha8xNCuQSnqt8yVD15d
PgOfH3W0BUsPlTMsx0N5I6ENs0prNcvdPW3Mt3Bg1yU2gN8JbHFLoX/AvvJqkH4daS9kBL4uPqKE
dUlSi6ZR5XBgW1ZDkoNZFe6Q7lFSoTtxbiQYdlK1r7iV0gczt84JEoPGevdmYkia+orGYSftGaDF
YFeJOIa80rStxhec9z10nnrSbQ76vuh/dorxQuT/IdB2KrL5mlvpkx3ach1OJOx9tkSwNukolp8g
BwJJO3S6cWPsWIYLGKKS33obXwdhR2vDZUYxZlPgICBTOsdmBHeBKOsXmD4KDPwwxS6s+5NNHG7r
9D/nSbY4motbzPCcRZQzHevSei8TjNFO9eoJUW3osBzjXj9GgkWkbbIzu/eEu+i6C5V3MJuG2WB3
aIZ0Ezq86ONvkswJ4qlyxf6Jc1t43AMQLrSdfiTBfnRi3o1OPpw8XTwkrEgxQpKDiTmYp85mg6IX
P3ZqIsU1L4CS/rtU88G3AfFKrbb3gm0OcRs/dJn94GvaUjXTInQqE+p8OCYuERrfx7IXo/I06lMr
wzcOwFsxIS8kAydndxuW9hrx637yLX/D+F6dYp27s1Yn49kTdrtxWuvDDGv70Wva6WT4En11wft0
3mJX3hC/fwmb+CmdB3llyMsUwOgWrd9O18efRqTeYNVvU5h9whSzmPe3T6hD58AURN10MRRBfJXU
V500yqpd4qdTk8aLCVHs+cWKQGv8hI+Ifytj+JG7c3M1aKjvzEHh+WdIYQ3mIcpz/63j9A6rTMfX
Ijtc1emFHUlYWhekn5m7nm+GtmGhLHlFjqGMqoyLE9vboUVOaHSpubNK6Z5EHB3qqplWTd29S7ZS
c8WEaAziwvWf0iq80CjEXV3zIo4M0Ldc7voGnDABOfjm3bIA7PnVLlo6TqNzoA196oo8D0yPfIua
OJElrvulQtrCgwYcoAG45eYzcdqL7vjVF6J372KjNiNHV+xGk8gIKWBqtAKfCfc0Z6ZUis1OZ0GC
V5wHF/mTW4k/iLqCIme3LQI4qvDJPGlz9qyDMJjIVh+MUr60BS3MkSnaqsUWatTr3OdO8OKI4tLQ
L2/KLVVSd2VEzwa21EN9Ygn/DK7kbeC7yOQJDZ4GxTc21UnQ2B1fIxdNyGCFXwkkGK6RcAhY7Dyw
Wo0tbpGNBMGizRqQdzG5YPgHLaUNbbGWhS/ZsM7ZnpC3GHyvDKJzi+Kef1iEK3cxSmYu8fiGWMww
a8MLqSb5rDek31HrxY+KLsSZ7lfzYU182v2DK68rj/Q0yiNhGFwYfuefET6BV0VkNX8AwpecSIjY
k92K35fkvelEmxG5NmF6jly8ivlOj9htev+2XsfP6FEfn7N0+cyGza+4HNjWOTa/B0/HHHH/agSB
xhfZ2tgQhEjcCwiMXHMXefQzfQ3OdYygBOzIra8da3Hb8daERFpiy9rMtFMCLTVP5lK3s3jDOZqI
FwKzaLi7JXSfhWhujVaQsPPftKGVXCppExSN3ux8I6cBO1efusFuTzidsiKAUk3RbmCSo0uy9E7P
JjDiO1tP4PQsuuaZZTgPnlYffdfAiLA86n0pWIErrzXLdWeLXKltb8cZtHr2sx9qqJ80i5wo+Mtw
yoqQOMEssQoZPAHhhJ5ny3zMMZhtXG18prfBAr/6YUmBoXE/Ay6Mgd+V4ckeMWCx5nYOIC6hkAu3
21OzfRKvdAM6zv7JaAU4EyOPleuEv5mR+ev/w96ZLUeqrFf4iTiRzHBbQI0qzUNLN0Sr1U0yzyTw
Nn4Wv5g/tM8Jb9sRjvC97/bultSlKkgy/7XWt6Zsvrq6v0R2UpI2N4xpj79CHUoGhCfBcPNK+rp8
og31kyuJCk8XYUyp1A7H2FHsqJLhWmNuCxsdXTNruiO45X3lz23YinhbdxN2Bi60BV9kXC1eHjJ7
TA9GLw9rEjPyqNJwgtwQzQxDQjtFQYZiT5cf8T5m61WQeR+YRD4zWm+C2U3WALX1C69f+dUlLjVU
0NtuoeD4D/GSrrdeOyrSZjGfhG0ec9mSe9bJBEvSLtyAiCF2LHGpWf5tYdszuwaT/tu0UXeItkjf
ZYpPKdlIlLpR+mFdJu4NU8ZrgR0EatKS3euT7uKd0Qvsddst2y7FY455hau4GE5qwwkl9cCf0ax0
SURFJGgEN7wzm+1+77gzmIHNb8RU2HcXMaNIXDLAU1buXYuS1rsksRfamnGeoAI67Dx727sa62IU
EU1jBSROfAm3uLu2GrJF/f5eIfKtQqtvtf6Ur4p/rd+gJwTGeTFj6UU1UtTIQyWdn624YLMLMUm+
KX1mbVFEMz1NcZOv2nrsu759ytViveStzzAxr6z04s6W9YI815wJlszHaioE7+1mBTT5iaZdtueB
dudHVSxm6K1N+9S7bgy4gK02bp7vXr9plW9Wr7ihk7aVb1yn3Q8lSrYwfy1ludrQUD2rVZKbox9g
5KtC00QX+16u4Ajzrvz1Eplk0AZdj92PnJKIU+Z3yVeyJrwmxDHAABvcQxQrOb4eb2ca9MQqcfdQ
Ph6W6ej9rDPWsF7q1otIWWexSm9Db1WWVAL+tRg2PQSh1iWtlvjFITckc1mPvNEDvch0IzI5fPac
7b+wXsSH74XR6lihyBXz83LV8PV/fZcgDhTULVILq3VGkVTtTtolyRnzJzY/JncGvmMz8vLrcpTq
uOT5bKonKMok5cdavDPqrw84nai1MZjeR5IaHcGJIIurvVfy9aotTQNRY6v2mKrSr/cAZ1Xouoai
ZhVw64XndEfd6GgaN+yFmW9WNV5PVTcuZ3rWLqPwvXtHkj3hMSy1aO5m5pd0F1UXk05Ea2eO2npt
4q0JIx1SJhR+k4WE8PtjY8GSQBlo66DEEvCxtsl4BhKpRfCZxzOlcHNEQpf63ybO3Qdc/B1KRu4X
P+xmJTuvOFmVO1vU6oeDGvHqShsMwZJqrOs1ec8Trkz31JlaejfSKIzvpTWH975yGoi41TCfSd8Q
hxcqq4hure746CuLCuBSac4znvKeOvIKu+dAnhT90/R/u/gQP/WBekZUWRmQbnhnoLHep9OE9thz
JggKPpq3dp0gwWWZ+6gkIOxgXaU8dPXmlMS8bu/8VJiXoaTTpMEcmEaEzHQ78swx3rlAYdFQKXc6
EhCir9QyYE2TPNVO8O2xXbZWZ0P4GIvXafGxB9tyvOp9450TmcSHHjl9CC2iky37PI0Tvb49fwQh
Yr0Y7WNFqvBFzxr/c82w5HHpdv7Zc1NKnYZ89GEkTDiq92Ws92dddeqOm35+IrPZvE5kFhJi1zPj
r5m5Eo4FfELggWXQdDCwjaXSzhg6a/yH7BhvV3tdzzWTp/M6C++ea265LjNlbzpnfn+XLiUyc2yI
qgwzwqDnJE3F6wh4gYK5cVS0O+oS00bWxQ8Ytt1TMk1MrQgqInSUGwDBolT4y7Hm5kqxh7d3qQjt
2Unr2VWvckndQAfoNRTMPDLi76b2wv8mv3w4ZT8cLNR9aKrV/fKcrTXUdG3vLS9855nL07m2bu0/
62ReD43U3AdgdO1ZESF8Gj2fuioUoeZkKtm8xXSkvGpy8r+24SSzwdZ0cpYQXaItZaxzAC/kZ5XB
vKcUp2qt0OqK5hk2atmdTRt75OilEHtTgvSfgPfBvQPZwoer8amNff05mXyS60LIqfh2urTJ2oJM
smJOD6xm2IQ746SblrtfZ8ffe5ior4up3N+uTlPejDd45y+Uq6yVmphIksAOLOH5jzG2UgBDiX+n
8hk+3kqHtWl5HCE94tXoXmC4jaakkFopV9zT9gcce6p8AtIjUoWlHAy3FWUCDt9spumNXSQ/J37W
DReXc/TzGFQ0kRPSpXVT79bcqW9WMQ9B4uA6NVOTjRCIOEy8enqptZmiWaFr93HBiWhtPHXpdbbg
AszTg24Y5XERyjuV7ZuNLPSDt74LYAYU19Jx8YOtRCKQB1cNn0zhnlNmUEeiup+Gxl6nIT9EoedU
nlQJ3G+Qs/ugCK3jXRYW4UnT2JA0CBJU99Hp4CKOFHaFoRTM8tMaL2xfi5geU9crX3pMfYSZxfio
SGzsRtRcjo9LZkJziZkQJLZ4iAdvusHzRVlhnXxCFMzvRWrg1bNjNiLTaha3qbQ4CPSG5gVx3JF5
GSs+rK7DFShZQHfDyhRhAJDPE8og75or7VisZEEF3ajH1lD9HbG3Mlzdav1qAQgcdT9R561KZu85
JGR7w9euKQ29f8hYUFJdIv5wgzTqrSWSuuWOTw5pDDJM29CzMZfkp2clvJ0za1YXC//OjsFf7mJo
BKci0yeU83Q4siCA7Snj0bxMICibg+GwVF9qTqcfRe9SKuEabnqPul02h6HX5GeWg9KyjIycSSVx
TLGZYcBjaRh6wrQopt/rsMICJ2pYBXmcEbzjSrTmM2sJfW/zbD36RlZ/VLq30MBnQrHVC5xDmicy
qPg+9Ebyg94QuoPvnfLRgvBfFZX92g+u9ZtjopGeqGIaDxhG6mgWvncuKIk1Az+brHnfeTpC2WI0
4vfoS47GrM4LdeestiZIKG/+aHKR/wTjM7HIgW2+dgvPMzRWbXrS63qGkGEbG31Pe5lqJAVsWViu
c55EAWMf5jv5nMW3E2XGYLTjJDK6aTqIvJ2Q6THpFJHhr6YVtCqePxY5qXc4xOVTNbmM6rkPn0gR
8/ibOKK9Snupc36esMOlKyYGbj5J0F0Su3Jf+u14o8Gcj2bSANReF7wC5japed+DE/XYcC71R4yB
0mOf7yRXKvCyh9oZmgEvASwoknQ4KpW3es/TwhQP8xzBGRz5IWbW5g6TAv2QmIb6wtYvlYRDCNsq
fsNMC0SDoICxbzA53sQu9sdd6c+A5UciMc+KeVuYYtnvd4mN/1COmmx2MX6kI0W8lKblHWn72VTz
Q6ZRp0pT+Zw8kWTOn+NlmL5m1mVkaQR6sWsWH4M+/Q1M32gUqX6wkPBCVp4mya4ofRbcxEbLzPW6
nAJSH/PnopKCSdpYeTSG+OIEPvrM3drISPNrPwmkQxcFZQENsTyWOhBmTbtvitSiZdYm1wMlbx4e
kj6Gha702HjtWW2u0wSKHhSfPOt+I44ptB5BGzT6bTNXB2m31BQbvX626NBsGIIkHRQvmxNdNyT3
OiellJFBhdLf2ONnWhj2iS23aYTUxdpFqNGge2u59bxnfN99jtqQ3KxZ7P2WtaSCmdSNfcfAhGfn
1KX6LYffjrHmRKUrlSfYEIMqY0oMHKFKLzPVuAerWIpIzDJ07LjhodkAB2VXYESTNVSP+DLaYd9Y
NnP6DkxLCdggymWtPRLT4Ok5wPJa4xwhoQKZp0ozHMqE8EL3MGh4LTSHGXpqr2cn18wQcKkXGqmT
fJV98bIYSyj1XFwRG9owd7XuOlqd+a4QMzAj4Qoeh9jZydZ+VL08aU0b+d4QnydWdJ8Hj2ZIgqYL
vgNMJCifWI6vSS3vGIIw88kx0s56VHb5KYaRAj/JepM1fZVCPPc9Ez3fG/eZr94xO15wU4L14Y49
QNylTFcu23iLWEhjMbHLKCkpwCgQXl0PuS1SUJo1pomOhpIuAVWp1W5/aw/1gjmABHJBEO6t88r2
Q2/oUlbe0F97J47B41GkjHmos46wlMCYOPok/vjGRq8xa1Ypy41fJ7lBrmpS/6NWQXPTpTs+dDQU
P3nJgKenEmKXrzgfa2t9Xif9QhMEKl41cQzTKUpfyThf8in+QUM3wjg0ikM+E25BHswMDoJZjo9v
Zd9audkpKQWUqq4rQmm6BpMW5TwMArfgxB4G+5+KQ78Uy3CQXdU+arU+fiH/1szS0UlmqbpDbcFQ
wKfKHV165sUtYmzKQIFuHTJW487yJvepm5zxktOzzU4TiJJbyGnft4YezOw5AwfT47nq2+IA6Rj4
N0G9T00fkyB36+JHb8J38AuRnTtpsc/uhc/+N3feTEsa0QIi4kQ7rbO3FiOudmU7lA8QXfRbqyF7
rEMBj0rle8dlcYYXLZ7N/aiZ3q9yLodr2S7+3WwMOSOZXD67nO5+ixn6B5UUqr8CohARGKKMpGdt
3yg9w7zJZG8+FDIDPIyFOVpAxO76ZencQGY15xEo+8BPRf5uokrskwK+KRwdxoLNWkR6muT3U63i
X7M5aPfoZWZUU3L7kHWDeZ+jjyKcmM2xiDUnWp1tLOIM+ZleVCiR2LUr4olROSv5O0uIYC2Gtzya
ds+FRLQMon46mT9bj3duNpv4VMMGCqjw6Z6IgWs7bgJeUD10IVDn5uo1Lp0Uq5uEI+vZjSa/h1DW
uNF7HSuMY4S/WvjdXYHoxr2/KgPRwlooFqI4uA7LVW+CrGpWiSGv0k9SLODx9CS/cbFJs6BsYkBs
TCHWRmhElGLg2CnYsRgWsgSzrWM2t9olJbkfGU4lImxm6rKsiTohf/bB9+4VEu16HJx2/QB+WrOM
ddXj1lAAOmeZo1Zk3TMexnZfe8mBI3p2kYoYDpND84B8Q3a17GLwn7S3RqsGq1KRIATUFJC8cM4U
E5XEF+thn3Sz+7J0q4eqIBMIdkTB59IhDg3ZTewnnoQnypCwQcEJTN7mJfOeHA2Kys4e03pfu252
R6Irvc0KS9G04CvjVMWq7oL/t6T8d0sKTxbvfzWkHOr03/+t/3vC55/f8i88Bu11wtVtspouG0tD
x1Tyn6V3BiEdEzcKBpAt//OfXhTd+IdJqZ3xd5/Kv0rvdJ9OWM9k9cRXThTI+L91wppblqj5OyVe
1w1B956FHqc7WFG2v/9b+4JuSQ9fZuJsODbIP/l3HboamH17rqPi25nqGR/zZ1WMO6dm1h3Fql//
pM6EVbnfmtZFnHfNwbazMbnM/lbGLqZMy845jsAh8Aj09UGlOWv5kFI8bT4k36XuII0n/xxjeNRn
pwUJLPBsNFlbHAuNOIoxgkETBQWqDM6Hve1zYJ7F/JWNiF7F1ii/9N5Ckjrr2Zhb4lfGppJjTIl0
wZJzlFsx/arbct5K0oYDovpwEZOgNsOyJiakeDfQ5raW+5WjwXkwNfpyXIvNqPLyDjEGElK9p2yb
lLW5lDRzMsWa0VNSQ4scJ5MschR5/nDYtPq/YidWzMBVo7rI6bS03+NthAunJTVkIM3k8XQFWb2B
5R3cxIFrVb4kMDH03deacQphymZCgBI2UgurSkZJXZs5FzZ8CQNI4no4e5l+WosOztctMJq9VRp6
RVWWgCwF+xqoX4Ca8n1OCyhFVysvOrI0wimhBj+UYx+xw+fMUdlPqPVNR29eg8vDWid+QYWKekni
Df9eWSMzyr5sbec+zzeMmEYcvHqabFMdBkZWm0u3fnCVu6fjmp1h6rzhIRQBjt04mDQ2UdKeGcHP
qKYktYeXrvfaYFw2EqjA27GTsdQC8IEyrAp47a4ik8+petwxu/zllIj7ubH0N2mR/ZGrPBHbfMDk
69HDCmPYg4oxiAELDK/qq3QkqQU1Ny9+1n25JVyzCwcUNg1miQQWUDbiH3yHRfPGYK6MIIL2VkWw
8XKdyWBePMpa8eSztFw9T0Ly2zZ90p/b3P+l8c4me5+QexzpbKaeOJ4knxwA6KoazBbrERH9X3XO
/HSp9jSsHavV+ZKk3COvyj6BNpGtdbA3SPJKoy0v3eDe0OykBV5jVUj4xXNfsFsfOGIHjfMH4swj
5SfZRenen7pLSbzZ5IeM4tCy7e0BNSBcixCP7zOQqwsh1Z+zBx5csw+cTkn7tjVGp4QNNFSH3ZjS
9w49jqunlzde1TxoVg5mXK+S6oD3zEDA2AjbEP/E1QPeUYau7t3O43QxHfOV4ykobXXlinezXWMo
b9pjL0/PQ0tt+U6r/Owe78YPPzN/ln3Dbj9m8vRI7c/bjG6WH6zEbJ8piDb/FDqk2UuhyYSLxnT2
QEDfSzp/uUaRzM+Ag+ovvPVTfpqHNuWECBeBLTHhoVudHZHk+MXg/oa+pvF+8UoMwmWrnZhOQ4Lu
lQ2jdi71NJqNHjry4ziscXMZ9VV+1q5pCzTqxOKsQNAPzM/BbH0oAEmN04suI4qkg9IrgVzD0hDy
rGgbo0iC2inSDt1EB+HtYikCiKndWf4lbtmWYfPWO4c0ArxS/KmMJdi6oMRT1MwWL2ATknBm78oc
jFli7lP8of55cDt4pW3vweWvlrLKg1yo2KeHGLZ/Iry8+anmGPs6UvjzghmfvroFwy0fXOtQO9EY
GvZebn5Yc0iYvdvwp1ZuM8sX/sKqkuBTALcx9KwtYFU3AcLmBMRuxINfWicz9Q6QAS0k6AwfVBbJ
xU/bgx3nBC0si7NhMsUEsT0iWmxOsoy1j2NS3UJLWr6njpu+QSckL1qQT0C4r5mnvinwjBODc7Mx
DqYmh+EAa+gKDCNwG6/cCw1v9tRUbGAXEWAldg4ps6PIacfxfZLFnS7Kt1gW942CtpZ0NrWT6k4a
w7CvVrIOSgBII372y4lX56EdV+2QTFZLqqRtwknovylemw6rVtuEquN1Pzt59iEYbOK2qxOCCjHH
pc64b2L1PEu7Z5Djg3UYBmYt9Dzf16hMBy3dOgcZiYZNPTPw6saDl5UcIji/B53lYuGLO/sObccK
ZDd0d35MaLGBuUZLOITNaSwI0+B7OxSpxK6RW0QkinW+0VMbKH/sP+gSh9NsjVOY8iJOtGD8qJrM
jHrOzee09FTEcGs8rL5UN4Qx54NnlsZhtJefmWpf20qH6xY7t+BonF27CAa8iRJPuWhCwwTiSf/q
S1UX4uzLej2aDmcfHN2suXGS7h0bk7ojBh53Lk8RySW+13vvD2a0izAzuqR4KYGemeYHFiu24AMw
bg0qBWZEWb74Q6lBZ+ZXj52O4a/RVZw5RsrYGi3be+u6RGuKSiKBCvFMAOQJYJLbSWErMz56Mm+Y
8mLv0sGAw2Rk2rc9zXSXtBQjQ4gYfSZ1ssB1svJomZv9Ncfc90QELrsfJ8v4NaZV9pq4U91tAFdM
suviWY88Pu2jLI359vt+IHjjqGjiun63KFOAtquLbq+Xo7MGqzeZRwSN8gfJWCYfggKGilt5Hfaj
GghwxY5hvGeyHS50SMKUVxhpmYUgQj7pTlK9mnNOWR0clSBuuvIdygJAHG+ePeIomvnAk4PUmJRD
+5trqFBnkzK/E5LW+ArnRH1NQ7tArqgKVf+0WHG5ZPXkQeorLIOVIsUQmkMc+blfhVuqirLOdf3N
zEfce6tDitZotQNuSu3qsOMC1ps0zRMkZjOPLKmb5rlKdEIJgn7YiLwCBQc9ixUjCR5bZBHy3tFe
zW7+chYjv5fOHI8vWtsxACTHCOIhQqd2wnTtlBstAwnLHYJ8bfzKyShboZfJ9Clm4Q0ILlHuwnP9
1JpZS3NoXIrHWYz6J2HGYs/DzgBJPXKCt9VYvgyVpbsh/s+Bmki//DlMTmOGzdol7ZHCSzI8HboZ
qUlPf6dRA/xykhTkliFQRW5cdrdDTWvmbp0bgodm137Sf1LgJKyXIeN1TssAVBhKx5TmNed8ADNU
DM323VCnygiVBS945za9+Mxd8BsYnZgUjrvJkB07D82vkgiaBgtmnxtIp5h3ky98GGyYlO0PaP8F
ZCPMqrZ+hhGzxRwnlmW8BPQqkjgMaKk3QlcrTMTa0i3Th8JYf9m9/LHauFomazwXU3GM5cp7hmQ7
n8ycsZIQPLItADghuvjFEes9/kyNwCEhZld99qIiswtWWHBf0S7BBifiAXY72qvmbXFxlvakYNN2
QHrFAgO92ASK7PGc/6tCBO/mpqlraOxe3bOVwX/Ehs5Dd1AR/qa6ONflZnHZrDAWT/mgT6r774oi
b2GUr/qZ2p52c9awSdhNxKl3A9t6L9Jbu+XWJoCngXNVa1VPxxGk3Br4cwpYWzMsXL6eXVJflJN1
vJFt1mavXU5+7aFafewmmZely96pwbbOpjcAa7XRMHaLggvPcH8k7FcdYrQFIC/W8pLbTb8bzK6s
vzLZA/nwsqhqgd2X9ei+jUmJzbR14eTea565HRJMk+Zm36hh13HSaN+QOcdm35Zw9cBk8WYs1QYU
92Ip6n0rNcBSbeWrr2WcXm0qkE+svdYdbgDnvnCU4f2ySOLIy4w++WZZ6Af9VA8/yW47tOvxr8Xw
lt34TvKseTcorbodAC+5kELi2zGGLsLN3NTaGYBTLiPoq3ESrMQOYrYMhOGvKd7fgtM5pnKO62mC
C6MrNQBvif5lwnkNulT7zfxvGy+QRQUk3mOaMhk6fIKpq78arJEfuV/Gj37re2GyzM6VOUR3qap4
JBjlT9tb2P5KNV/d+rOAK92X9QmEL4Ehe3b3eHC9MCv9zxFQ2oGCBGLPveDuNHUnNOcGIUz6mP13
zbCQ40pS7c7vCuvIw1ydfdBHeyPXb9p6ZPub8/YgzOS7Qk+tCOTszKv2EwIDHG2eK8tmyKXK4ZFI
BopAQ4TJnMGV8ehygDYXxnHWWifQABR/oE94lywryxtw91iZXMsanjyLWnatbSo9sJDIg56F+3lh
9xaCiIbJuLHBaEftAXelDe04FmcV/J1mfF19bdhRhYEol9fisvr419zF7Y/QwzY+mLsuQTcxtDUB
JcLGXsu7fGZU6bPyB5Qa0y3Nba7OFg6LCA1bhjFxUYiLBb6UppyfTH6dZwEdkwRDScPJpJGiWvIS
6lSF/rXqbfm8ZgLNWqqpPfJZiqPdAxwX4NbHmcA0JS/5lelZExbxCre76P19r6/4Z5fitvI1l2F8
aQL0dfCJamnZnNpk0sOK7Ue0KCpdCU5oN3gdMOL6jnlsKE6PqsrGRot1h9FsyWUJMLV8Lvy6fvWx
phFN9pm42Wjhn2OWrwzu0pwOAZvdJJuOsBejeaeNWBxs09ZuvUkbrjG1iVEXIzrkdl/dJX3j/0pd
wwvdbDVPuT217/hL2Z4kFU5MU9bhqFxMEJbM8n09YJuWyLwHt6G3FewUCKq0pn/EzkFF7Ejf/uYw
7aFLDGN/oFGUVUA55qHmDQN8kK6HCRXnwBk7ixJv0IAgYsTye/9S0GoXpuDozp2daKdcT9qLh1q7
913GbZoqyJ4xXGXWx8TUkaJ7sVniNyfiR+cymC9JyAH5x7eVsGGJBoAU0Uxo2AwZUbtHhwaKT4Ye
C8mDGAvinM1zxDSezpQ1dsLKbjj0DOgdoafL8khN7SMdXc3dgg67j8VGBRB4VT4JTYvI6tf5oC2I
nBmwAnxruXMc/Kp88lhqX3XiQieyfdMvncjrgSr1JEp9Qe+xGiAVN4Z4zuzkBftlil9Tl1eh29nR
mLT3zIKP2w8QmjkKaHzu2TNUolBTNI/1Jraz0fBwCvOZBW7FssNT9qlhIEpZn+VQQpGIPrlXKkZl
N4U6cU8lQZP0pIAa5Vxmw3uLxWCzPa0Y0xKnOPBd8UlPc54UejPuE6PYw6M0j8MoCTIArafHw2Zq
JCAShTY2mqvrt+1J1bQ3peV4y7e/ypjiVyKzUDL19FB2mnnQZ/vHDIZgo3VWj5ZWV4+9WEEiNU3A
C4uPTo7gsVFVSOsQmEnmn7iQ3zShuSe2hQ0gEcwOBXVYVCJgfgIEd7JX/5fqxgveNpgmdmNE9jgT
UVD5ultH3KZJ7zIcTn7bSLABjJUHhsLywKPmUGWifWhLhC6RWQvySkNph/S0Ow4fqJWLre4boyqu
lHb5nP9R4oTLqEsU0wvn6UfutGxPSppBwvKZi6E7OJR3hwXKdCScmHj0lNGtKrEyKvjXNAkYcM5v
Fk+Zx1YU73QO7VcS+AFia3Ioun4+1hYSIxgZGeZWd+8YGTlQPd5jueJ9lV575zC5Ir/KMEcJ76Zu
ZhUOJpCAHl7hzWRgr8y3dK0AZHE3NKwOejU+QCld7nqzwHXk9s2eK/JYajxENH1+99rqI1cg0g1X
z96qZhOOUU9eFHcXadTlh2xYpefFQZd1kvFSjt51EuXe8SaDm0zx5YzzD0B0EMrW6qk2OnMPlpKT
GBVsm+S7uRbLLRN9vzb6nlo9KBN6DT7byi9gdHFzJ+VHo8HRLZLlLjVRj/AXxuQYll96D4hf5SUz
qoRqek7W/cmovR8ZcgXVA5O+y9a83OHfvoqR2i9AwERUGYfe6pWdB5KSnF6VMyRSBASggvdrW7+n
dvuMxc88VI179sTAuA171I6s+OYr9W9zfz01tnmqgWeEmcH7DSwVaQzjcUHvAKFTip4xDu2ESN8c
i/oNI+0fYQM55ImKjIzxYgdj2zu7phbwyLamAyNj7CjoiteJHTHJxwWwbE+/tHnFD5FEdNHdTGAr
TI88jdFAstDWOyLqa+DO/XuyMQ2bpf2R0qfOwto/OLOlB6Sr5ldCOvR3tIwvpT9Z+3hR6EHC/0qM
5hbzo3W0S5+jHrV/XZk+ghX9ma585Iu4WB3MnnzUtrwGyYPCoZenA7r+nugcL8DG3LdC7mFAtKEH
EIBzx7BnLlQHRabqg+kTofLdO7ZwCyUfUJRzhZ4x2D653Oq31tJJ10ywnmATdvuuRx9qttyOWchr
q4O4p3DuXHXeWZSwk7qBzG6G62WnrHGMMCTa+zHN2jvNZlvkZvBmqc9Oy2DVhyGAFOOjXmV8TdK9
xInFc8y/meuuj0Y5j/Dul0eyyzP7k5jGhupckhMT7BpOmqZ1HJHXlTfY+MEq/YFqRjp7GZ5b0gkc
oXVQkHCr6HGWbQDWpAsGQbK4TepTiwdhwWogvfoFnTYDyoEMBy/1xUorrOkde2yMWQ+tTz3ZEtdn
jI/Ggd1udjdkExiAlcBbe8EDe5PM9ROoGyiO2FcYMAe1x+O9YvpcrJFZjqeMzKhPeVLi5zeFy3Zu
BjqZZ4TCUhB2OLQRu0C72IJgC25wjDP0iMtm/aUD+Oy74WQtxOIGMO8WQ9yqtu8xOngHRZlxSHIb
M74WMOU5kHExQ8Ne9zRVwCDt4j8xy10QFx5SdquxRyp1qlBWGmQAORRcQEt2BgB7WWv3j+KAH6wy
IzEH6KetYJD0kk2QpYW4tLli65MBQN9mlkMuNazy7tRM9gWHGJ3oRvlnrbszov695Re3sHk/8t60
r4kfyz0TV5aJnmmWzq4q63EDegk2T9e8ZXbVR3pVfgzVchzL30uhQq/EijSt79kiPsoBiKkNLBr9
le/zTgDHnszMYweOEaCCwiXGMfCX9ari8V1WJNFBIHZkHryJ3H4CyAO/5Ai+xktvG8+5ZoMhb5NC
PrkuTr8kxgiZDU9b2RZ8kESvnhMX11MFvjfSjOUVeu6n0/pOKA3pRAp269OI94FBb9vXJ4jOlEEu
9lYMacFOwSvIvMI75iZFsItrUyOZUnvxkAlyzHvqMmiazL5bJ+u2Y+qnhIPR2Zeb0LAk+Hv5Y2i1
Ge1zj91fBZZx5ZEQ3motW2ejUE14+o+dPzH1+m6/FJyGaTko2gT3AU9rebG+2zLTAaZPqqVHH+v5
jhKT/JUl0zOeJ9fF4OXMW+VmurVv6sJXVB/2pf7WUvKIqZiN+dbXmWaEewdJ3mZMMXgUsZ69lN/F
nr6qOdCxFnPj9x6cluy7BBQnAbATaMe0g2InTii/Wj0iuWBIsJQv5ozVaaJflC+2fllTQnLJ/64h
Fd+VpMB8s5NSTnfKQdMdtHVrMC2z0jVP/6+G/g81lJjO/wo7LH+uNaDj/yKHfn/Pv5L5zj8ETVhC
IJIKV5g61P9/qqEu0H+fwZejU83u299/9c9kvvEPAy6AgTApiMqbjkU9/L/EUP8fnu4J2rQ5OW/N
hv8nLdQ2tkLsv0mhpgcM1iVBZRPc8lzP3Aq1/yaFWir1W0h5bTg45fQqxz7X1ghbgWW856aNs3Oc
RcrTcmaGPaN4tBlm8YDWNI3sDCNPxVy75VjXd9qwB5STYCXqLAVDAsdH+pNmGfuMU34yr5ioYLaL
YmibO0eqXr/4MDvmew3LY3KaO91OmZbhzM6LudHoeRMqzKbJeRw2M3dtNSo/1IxDw6KDRh1TjciZ
J4Bh2smPyhOa9uhtDnPSq5pBMTQQKmRBvAGXET3rQ6vHmh+yWdo1Hb5g4rMPzkEIN18uezYsNNqa
Pqew0tWlb4w0fbZZOXWAddyNEA9Lg+4+zUKqmJx1EwemvCMhAFdlfl57v6LvNPeMZjlozaBbt9WW
RMgwpshPct6IDGJsh9PU2UN50Jwt8VDHHY/xLOY3pvVuC00k1Ie8mf2WpAB8LN/+Uh5k1WpMPEd8
JSHxsuXIrHVEd111y17ZrMRxxkfh1r0ny2dLqnEYHwdTlLc9vSPkLuYflYv7P8sGa6UIJaVKmlUN
IgvH//e0HcH35K7xaWLm/D2pwnnU7IGHNlPdlS2EDuzV7hsG6VNLyQzU8/9g70yy60aybDsVX9mH
f1SG4q/MbLyaNUVKpMgOFkVRqCszAwzAnP4ocmK5IQ+PkBgR7j+ynU0VJN5DYbB77zn7XKd9Aw5h
iaubbHTkpVs3kncoIhNqRx/gWSp3eeBlW4it0aM2a/KTPXtk2UBw/1S3HrEUOO8ibH2mP3geuWfY
B4ZT4oHEcheV30t3QHgMjeZKjl1KPyESh4XpxA7ffwVxt0P8Hob6G2L0jlafQraj+dCHzNHtp7JC
ayPCiZo0xeAiFbXirLrB2lY6KtZbYM2cA45IQGkecjoAkIfjZZ+uqa6qkPjL4m4X+hMsygDh5GDT
Jd/lymvunDpsvlKgmS+ZioZ7zpr7aOV0THZI0fW5gWl0B2ZdfRkXDmpESpsGFjcFZDTn8uQiP+Q+
8EFfd4mCF9F2TvN5cJGQP0xRCknmVOFMrs9U3Qn9BTc9WLANWtLGxkTM0MMyDMAsAX/9lel9Vyxf
KbnW0Mo2x9d0YLg8gKjLyylwH4IRih09TRTWa+aXyr5gVKCpOaT91vipc5F0NFgrVLDfeod5I0PU
8CJM8QAVATZ3tfQulrraeY156gfutkp44x1wJk9fCpBlADWmiFTeqS2T/iqzfJmcaJ0NU0/A21gq
QKG5FXyQWiWrTMelzc9GP6GPLMHbFBctDfVsb49DI9nGGjk9Khpi50VZ2NZTr/qciVOwjOKJAS0h
sPhaU/dStIE37YbSyvHJS2VcdTbA3sleQyzMyINnW7u0q3GkMnVvGBjQG59xqGztyCrHDiXkKJru
qTVkvp8R6JA1V8h+KXbcgd7oFvz+xBQEmOKwZwKWfaQAA4XV5Dla8tG1K3VfkGhaMANZhv6RaD7H
PsweI2+5EuUYajiok9FdI31ucJO02Hmz1gXmUHGz0duIGSk0PKlbZ0G5INMc6pqmGeTDeGD0VzKL
863+1tWquCkCkrrRFVJ0ei9jE1kMYCYbTcW1F2O6BFDlhWDrhzQhtxHNuHKwzxd+0DEYaRVsiEtm
DCge2EfiTTJuwJ7SeB0tvDae6n1CrtFmlhHba2b/6hiR9elfC7r/uHbDSV8XxlY88GUkKmvrgGgQ
xW6mq3hZYyHepIr4Ng8/72bpCUyqyw6bh4rt51EHL3HaD+ONKwMqPToi0bgzBC8cmrTTw+pXoHll
ALTQyKfzU27NEDXysiAIi8a94/V4PFM1oR2x8TIZUkGRGD0ADgZzr+waC5whYsa5TMlqGk/KYf/7
0Aardr3FU0CKZZsF6WXrxMyAbS5JtYv6lCGyN1rW9ByzGQeC5+D4zCtAYgQYmqQYX9Qw1SR6aztq
bmcv74rblPH3ARec8m4wpjTYh+1iRtXu8KFZuOd0nK+DVMmnhfU1Pe8r5QWPaeR3PZKbcKYpOUZs
2NB2ZC9ETqGunRF15pc2LSVu39IRAR1ehZDZ7NJMWdFHUoO49yCwBZid6IC5xXhR+1YQTjg7aPee
+1XnmVv0w95wlqWSVpE3W019beZkcZ/Rymds3HOTOz01bD3SAMzrUdy4PZyPXTA6NbY/n/fQVkEV
3Pgc7202Y/W0jFWITtB6KRNZXsTpok5hNjWkdTfhbQA9P38tw3TIHrNFpPqMfWvHRpaEBwYXGA/w
it5hywHlMmG6xP+d53l/b9FZzj4rM5TVUY9AKYGYKQFxsY96y8GIBdofab6M17kbeM5NYZIMPBhz
q3jPfAQ7e6znHCamnHH1F0SatjuCbpYvNeg2eJO0dj8xukL1r8q1E8YvWEZzhpXD7Z/I1XVneKlt
hwrEnqf5KgHh9SSdFl+wnQ2xfGPbcx9lSDF2AX6iu7ANpqOP5mB20o+Oj+bmbJh5zck3MWa48MaF
q44Hm+C9CZ/HPnFAFdQ8TdyPNObs0pyTGv4FIDJJbkGJZ/U+yEkP2TMlIEvjFNTsVz61aIWImI5q
j/aF9qUz7vqomw0NG/i1xNSi5Ug3ul4BK0XftbBieR+F9yzqKvksI6J0MV92hIVlPlIFvDWtcXgF
zJNt6X1co0l/oDhreP1GC2oIDEDp4oAvtYUHgWSIGfdDiSvCNeFwsELuiMaxC+bzEHrirR8Ohbku
yQYCF7nUGdJzY8phn/dTJI8DuUCf6QbSdYQpVTvX0GO9OyRzQ3FNijU23PAgbbe76RofmZBHoQ50
Uc30OWIfJudFFQZzeiGR69b3Yw9ceNcMaao/rR2w8CFLWWhP3awUGZDYdC46oCfpWUoUtKCXXbWn
csH/cRb6Iwg4L6y0dDcOhIgWM9Asx0MWcxF3LgFU13FZ66/FhK7Vd/vm0QQTdtZy9K8KApJOYkCq
F3sOGi3Hbr7ksdBHpl4enhbsZePXftZls0VCFqwhq57DTrGJuDXaLJ2hysV1b77p0OtbsoFT0eQI
NCTqjdzQLRFJQ1ZVwrY0ODKNHeZDbjEbQ9qPWRzydo/mHB1zT3sIPPTSJ6QFxNUQXvluKq1+Pwsh
p3OwwaPnbow3RtxhlhlHVNjhoi543eZ3jOkIv9zzcdBfY9kUIr1hzi9iAAUu3i9X2/t1Xp4Cy0rc
JZHhUyW+Q5aB9kFcpvVmlfXF/9aD7+tB8GqUYv8cfr95yX4mtf32A38pBr3wV0+gYo0ptaKYpLi/
Ydr84FcRBr4IeXDcVTZLnfg7pi36VVAh4q+zmbGGvu3+UA060a8e1PzI9myPy2wjqf3Pf3+d/m/6
1t7+Vuapd3/+pQHB0uaNVv/xbwh9fywGGcDBBkESi+qEUDnhrnD8H4pBbropRi9hNl6F6QglQvRp
0kCb6Opn9z+cl78c+sdDvYuo++1QaICD0EHtbfvrR/nhUF4S8kbwsKgE9eq183J/N1SWc/6vH4Uu
/fcv4/pR+E7oS/RTL1kMYYZnyOel13aXnr2MN398lLWI/7vzhmza8yjnQxHAyvvpy7gQ5SX5FLgX
RyFXYf0MASkcrsWQimM2sTLj64UuRoFI617j9ByHATB+4eEEmulO/vHn+UeXMRABEYDQADHNrR/3
h3ObRw1isnZm7zRDnlK47i4mO2zIJYfs8seHcv7RsdijUNpxY3MDr9i/H47l+2CLw5nrmGEGGEpg
y21LZHpSnoJcnEQrn4fcPJMYe0ZKzj3k1c/U7vA0uz3hBGc9c8PNn3yid6DB9c4KIB56PGeuE4i1
d/LjJwoSorr9KF37zjL23upGTeU5WqdB7dH2KMC5fd8gGc6X2r1DbZm/SlJLW5Jqfcfd//GH+Qd3
eRAEPJuu53g8v++uRO+gmmHXPDJCDBjUcskufd8f/uRZ+gfX4KejvPvGCUKkgdQ5Bs8RGqApWPl+
cul2fVZUu//JF4JM7bvIiMP3l1sytEgoZ8xmWNLs4MaThbWQN9T/4CgICGia0Zpae1w/XcI4HbsK
Azw3FZ3tZ/Id1bU1WsHdHx9l/S0/tL6+3yjrahvRXBfkeb5rfVmM1bqxhkpNGVAcx7rLQuK9nHSf
wjy9tLu8vHSBGZ57YzF++tcPTdCITYnsuIHvv/uCuGcbx9R08D36zlfYD83LlDrWGThccVtbDOvr
MAhugzWl44+P/Pd3JM1DGpIxNgqfTJV3S5Vl0kBYEglkEfn9FWie9oTmRZ3++Ch/f2oxt6+XDhkI
/UX73anN7H4M7I4pGGSCO7DML0yKPyJnPR8LxSg21afQl7/tP356mf34RlnX8p8vJwgx+qbcmILu
6fvkFsLkTNozANnEyZRDt3IGra7iDvLhqXM8JpGK+inbOVE+hDTcS1zh+Nji4uGPv/q7hip3VeTw
QqNUFrwQqKF+vnepGhlIlnyMKOBTeORcQfzM+n2VGoKotOx/i+/9p197PZXvvzbdYNvBo0rHSayL
ww8L8OwsCZGLKz3GZNnWpYx9rNI0YZ4iyTAkRgzVmhf/yfX9+xUncgRtaPaQPnfR97fCDwfNwBGo
JYE9CGGcgZjdWkznEfF0xTz8yYrzj84nfUYm1HiG2J28e8F4ZliiROD6p/Qph12U+XjQwBbZexDd
TX0AZeQEf/L1/u4hYX+2moN87mG8TNH7h2TKbJqORGHRvvAIpYz6fVcyzv3jO+X9leOFyRXjmnEG
3QiF8s9Xjqw2p7Y7JGNDkth3UzyqLYPXs7VjBbyzne7Gdv6T/VDsvb9y60G5W1z4EXbIwvfudDrj
XM++R9yvi6GyOifRRToKPRgLxls9uK25RiiOVhKyWDetZh0qlTONECr+WCRzzTSzAPh4F89+ae/S
aIzbUxGZTN9XmaaYnOaaaJaZoqh5ikRpFyXDqaS2ThOySHPRulMCd5NyxzzDS6GpttHYLpZbzC5B
Qc6DzJf+zVLxrDymgwiuruJWM7CT0suc8zLVHi0k3Iued+Mj4WkOSjauwNSLls29GH3EblduCD/9
KsMX1e2H2kfPRqOcL0loY9mdUO8F3zCig4nTDqP5PeWy5QJx7zkpDbYkdnHSNfo2Lax+fuoyhH/n
ZZyjNY4F7tpLvyGf5N4bFXb3uJpxJboDLXr6hhl59wiysm6ryCN7EXFiGUhwUGw2pecuT3U+QfVv
TOZjlwmHvtn3SObtPYPsMNgRk5Y02EyWbnkYXBazTTiM8MfjHGv2Zu7y3jstpVwehKwWc3RxpPmb
AfTTl9gKOrJJ9NzftEPACZIgji71kk84OhgUI8OEbxhdxIBuUBuK0N5HCHt9eFpIQu5cJuD6C5sg
mnq7YsBWfOesprd+DwJrgOQDF2Wenxof51FGf7NMOlJHhuzMm7xpuDZmFEBQm7l/GmVnO5u2jepn
QyjU1zKDSbTJyMVzCJI3RNeQiTO8GmaSxdYiugnLBvGk/sVCSAsujcoX15OIFIxVL4s+YJcjt7BN
OyyrWZLUnG+C2A9N4RHQ5EcGvknXOfRfaU6E5ERiuPsG2Nkn42VwQqQKSHpe7EnG975DjhcgJVID
dpmoBQh347M+tpQ87QYU7fIhctHfw0/K0GHESZG80vojH8ntk3Ag7lUmz0WvveW8Uon+xIn0zG6Q
eenskhGdjqGcua+0n3O9at977LgJkUfO+To/7sL0oU9IiMbNN5QPkHSG7LCAwRJAnKE0XeLfNtd2
zZKNfWkMj2LWxt7QX64+wVkcq60Orew6ETL2N6Er3AbZQ8hVBJaENYzxedbutbKWCrZjOt+DkcU9
4Xap/hiFVkdDLoJ+yzhaLo99HrZv7ajGesebLIC6QasLljsDygfTlZBMPeYNZ8B9BLQhRh79toiX
+KrrJebEoOOmRvKKQwrKTh6eL2OHBtankQ+vE2zdwPs1jPMNGpUUyp4zcTeucWfy1DoR60nXtYKQ
Ej9HPONXQAQjyyO4Z8g8p9s3vt0xJQhK40IbmWnWhGUX763cKxGsT327Ss8FMo/Q4mbzrD7+HFmy
kqgd4fRtMLU5cp/4aG1wHCE321BfAYVBHVJtUyVsWMmsD2SFY+3OdsCZkYUNZKW3VGa58TdFExlz
yAOg4fQI6S0y+l9QT/nKq9srxxqmhwy85A2qdBotlHXMLjqasRWxGDXCcXCX2Qx2FAzPdh4W8zXt
nWFLphhsVcPHys67olMPNTePc7TUzH2eO+Ni0CpiBZlbMzR7YofEN/AeBDvrKFq17T4dcZ5Ux1oT
eL2GYJ4cLx2pmHPioNJJ3WbLGpXVH6BVI4FAEjwWO5Mwbjr2Ib1wIrGCEbOPGQLA1aFGExh40jj7
yRvESysI7jmzSSvHbdn500M/tjYX1x0JacmccbyqYkNsSlq0UGQ7GoYPJDxYj65m+LvBPVmlu4m4
0pF7mwHQdi7IgNmqMVvIkoi67tZNRj/dicEuvwLqrp4tXTeXcwJhbNtbIxMEFpUWsc/q1MSSad4M
Yogro1aL58w52dW14Nq0RI0SDZHbzNTYJSP3rRvirQYSabd28R0GF5ZI8dWo5WfOBtKgMA+4EypU
gd2uJXoXgLHtJT0N9pSp58oSjLc4P8nayEiEr/bRPI9MXNwGmdY8F5WNvzAR6SlOIpIieALVsREq
Ta/jQtfXfk83dBuEMUO6zpLiLgtWCiOkDua3yZB2EkGlNWcnGyFpd9m7THgD0XvVYahzyBVtVa+e
06lPvw4xRr5VRewyCFIFsyGloyk/OqFkHNMQzgT3z7GZUKasoh+dmrsVd/CcwaCuRvqcnoDu3E70
+ksLCiuSLRcF52Bj49jRc+AUKQhqvNRtnQEHbKHwuekQgv728BJuAkORgpfVK+4dtyjfHOT67hbT
AS/0QRsISHAwZ7JKO3y4xgtnMFkzS+dJBgtppa0Wn7jlQSSBgOvLTY+3JYE7u8hHt6xzsn5o8pbb
mXgQOpoBDJE9ys/sOStmMgtDQFK7UWuC6sCPZA5kA6AOF2OrSrHXnURlrhPXr84Z43vzhrdk85nZ
Uo0utUrd6LTEgXS2baP08nFWVvyRtaj2tkR4o21NrAXZn7a9V1oGFhRv9uPYfYBooVQjU/KavUMO
k9XFNoPmFyHs6IZinwij+hONMFZhICBze5IEg9GnxePNj6MPuiOPBQmnEr1k4Egv4aPEFf9GGwib
OETxEOiVypyjdGfNU0feEGrVblAffF59yMxE6M6MqoLAPekqcN+IqIn9g0tEtrNNlrRmQORn6dco
EGKFdQ/JDc7DpDqMHt7UrfJ8BZoPEznS6A4V0dB7TF4xDRomMmjEPqVQonBF0gg+jVOH2ZhXX3Rt
8jl1gI7kujgI5dpHJLnNkSAFxNaUFtOrl/eB96FEcsmz3uI93nmpxoDnCDA5R9/KZMck1IOWVuLr
4n3AyIaXUWVF1wp4CubOlUpLJA0EeLc3RhKM4Kc9MU21h0HCZrO2wfcTQnYBdbdslG3cT4H0vI5k
FKf+4mLRwDjfp5wuIuzrB2w3GGO7scnTfW+TScNy0GNlgi9TdzfQNUJinyHOmJ1nq7J/4XfV0z6W
yP92wp5GFBBITOuDlCC4dngYmi+T5aJYDtHV4fFoB+PwoFi9CxhpVI5+XABHnrETa9TRBNnw0ptw
/jgPaxqdNET7ADZDh3DFcKsxR2b3YXrRiynxadw3aXBu01D6qjvGlVvpLzZ5w6HZLB7gKHziiW9v
0W0qQh651DjYIgfjwFSjOpMwBS+Gtgm+QfD3y5OjDADVAOEWE9pSUdARNLl8bhlSXE6B6G5BPPZA
ZbpJwtcuRCV22YiFDoZr2e3tGmnjrkFcAU+Tj/2ctSp2L3Sm8wuQWfIin2qW77CKwPTzTnbYMzJx
uaFoh6IdK/dkGjIXsS017qdcpliDCxnmnwtUOICpWMDolIz266KUQ1agNUYvizODnOYieA8o2Vu5
U3oCuxgwD+KlRBrFB/iJzYpPMOFFMKbZR9WwYyYKepEXqGqzggCkRe2Z4a0YrFygUUa/IF3wrqDV
CWVK7/MxCN8Sbem7jJHlh2VJnHuJRHFLk5rk6oCod65Po8PPSZ0imhkd/VZUbe3irIDASuCvtVxb
Q0cCkSsFoBnUINlH3F8on5KieSYWGO5CEmR4tZitJAHLSBpc8R3y52Ge/Mdwskax6W2zuMfARQt+
nOOovZ97k+Ms6rr+NmlbnsGAO5J7fzU4KnB5FrFUZD+SoieeTZnHb3Sd2hc36CNx4/D5WS0TqyX7
I4P8liNcNudTDdpqZKFrtknWZc+CWKBuU9ZufrewwSCfp8555Qtr/uhHdso/fTdy5l0LCFB/N3nm
bDnSa+PaI1TrAsQtLCdbkPgzdlhAaSgAEbMB4xJeV2Owjn05MUpGdLqpfZdSxm9i6hF2Y+EHlc+I
iejc2qBRywEtBdJyL8LTwRBvD3UgCMGAjXCNW4LUWfBiclP4/1YPQcsoRp38z5diXrwLFcv8DV3X
HANAyHAgKQP7i6yTLCI5Aj4B+SKxK+9bXoGEWAhPfa3buXocLEVtERB1w6/QvX+k/MFhTGC3e6cB
ndXbekCCs8aLmHBLxmPMyyu17bs8H33YCCEOlVSNq8MTiUC1pw1ftHtMdRgtoqRl55Qr5ZP3tcjp
Psyd8o7U9OmtV2505dVwQPeh7seHmkz7ZItMrL4bUDdzjCpOKVxLN4S6ZkURqbYxd5Zt0fSBq9jN
AHoaVllr8Od6O4yYvXAeN9GrBUCrv6ztsHrUfR26vFlV/cWpSH7cgLAOX0Dz2NnR91a0Yytb72mx
HVUcM7Y54c6UlcPmcBB1uLdsgVyHrEvM3hrEJW09UTyo1GMRzJO5C09Wlht94O5urkfMqv0Zwwzy
waAAzMcpSoj+7gpL3lc8zefs1GIP2W7Ax5XsAdKdEXN1P6MIC7edGsa7FO9ODsO9VGLb5XlwRd2a
vcpAqsdRuR0vhDFp7F298toAHrgjr1mr4iZ38lHu4tSqnue4xB2R52ERbdCwF1+ROQWIMUS4ugXI
ryl2mazA19d+lU7nsvCKkmSItn3tpYANWSC8TUly8Pj6q3brQ9nPDU4PZ92J2gxjnjH5d/k+b4L5
C795efGKSsIozBZ3tdijIdwWnbUGB7VFuUoNgIPd5DBA2Ui5AB82Yz2A58gIi/jYRdSgIOVq+dr2
BIdsLD2zdysEBTB7hTr3DgLnaHYwZTqG28XW4TlJ9Wa8DKYeKlZWy4adaQmNhhzMMIWR4cfFi6Wn
8CtzWC23cJfLD0FvB1R9U+M9RSt88tT7PeIltWRjuRG4as7nvg7ijVfW6Fya72oXjHp1CVsWYuOu
64Yo2E84Cj5he5ou0HYg/YkARDvEdfRDAbipXWaPeLopn3nsdYEvnYZDgcpuUkX0hJkazCrKqM8e
9M47Z+iXcktjnDqpHMADr2D9zGwzNKNfMbGyG8zB3eDWWZoA4fTM1n/j2YnH/hn19bkco4nmC9LO
GQCnHbANnyQxCEYZtS+XeLybC9e6i3XuI4dSirIrU3H3OZj9+U1YbEIpsoz76GUkSsESCKvbYciF
3KfNTB4dorlR7Cvfad+aJfe/kbpKp0iDvsxWXtx4UzqOQXZNVbbsoN1a1xqmcbmBajUcXWosRO1k
KgO4p6XTYCcQ0OFVr6xmV7Bhgb81Ifg8BvFi44Ym843oeeMiAMEnkT76IXDy3cIIDvEHvauZCGEU
2FvFO9vZUkiuO0g4sGILAq7qDrznEL+MRro4DAIVf51F1VMX6tB9gnbrFnv4YeQUdQK1S8Pa0+4I
ds3xEAbJi+WV5SeTcE3kRGm0svJSZ4vfd4sI9EAysKlAhhlDy8ZOY3kWpLLHsk0vhzCbIRsvnKZF
M0ohJV/D1kpePGg7H3igAUtTDAbP2K1JEAlHGT95LVsgek+4xDe9NSffcLwnj1667nR17iWEnjJe
hsSWkZk115Gzi2lrsfnXhrdbQtd7h7QIuZPkMVv7O5T9kbCbhzquADKTVItbVWmkiolpkC9kjcZc
lLX1S8X+5Lb0J7ocmWBOhlje9a7RjpXo75zJSw44cQmo0VRe4FuxflQ7wLPLpa/HIW22ONRdD/9Z
TRb691bt//mpy/7bpPy1BS6cp5l+98f/vGIQ2Kr2m/739cf++t++j9f/9qeb8U3qQb79cvXSqV8O
hE2+aFyd73/mp1/Bkf7ySXYv+uWnP+wbuq3zh+FNzndvaqj079P89X/+//7jL2/ff8vHuXv7j397
+VrnDYJV/V7bsE6Efmhgrwf4yw9ev9T84OHt65t8qX755z/7OwEMmQNShShkFE6HmUn0XzXvfvQr
c3I6zy7DPfQPHtOR32UOjvhV0Jx2Yo/W9PcUu7+J3h1k9ExWRBwzcxQR8/x/Rebgr2qKH4cm2NRj
Rm/oHHz+Dd3FuyGNv8LmVE1Dg7UJ+XXpYH9/nUa3yC6Q2pj+awdtPSSQODzi6r9MIpygrXtA3HtR
k9GyIU232ISrf7l6kiGZib59ZqfRRd1Ph6Zt75ZCX0r4hGTqPoKrf5UTljiLvJGq7N7I9MJ9RVq1
VX8wHZkwEDe2wpE73rkH/P9ylyhz6DwB58Y8IVA7zkn2QGP8aMbotqyWS52OxFp5C2EK8e1AvAwt
1r3EkTmamiBxEnJjafHykcfUzeGyBOypcvtNlMl9Cri3iYBkA644ajd+Mr1znAvnHArmmzf494iU
rrUo9n3GFivMT345n+BIXRE/fOa4CudNch6uvXIVhMfG654YyNSbXCTnnJlz2jiH+c10Vzr46OK0
coiR6YaHCugfM3b4wos8Nix7WvcoH2ATxIS8F/xd7F/LdNWde+VBzMOnxs4uEsxvu6GFYsk22kLE
QVqVnz17FO+Bf857e+dHbDAsxTDf3uOuIxxnODTY31PzbZ4/LQUIQqKSwb+cpbC9WWV5D83noY/u
S5NlGdF94sXZLi8k827Y0W6GsT3ze6ypxWfVgM4i4pbCBuEpoDPnfOXB2ekdORpbaR7TfDrkoj1K
LmcIlIURXBoiVKSJOyfbacQAXG0DD/YEeyG+6xCm+PlW1bN37Fx5QpFKqfskzTmL+r5WN8P8NRXu
1jZ3Q/bASGUuv1lKwzeUh9B7zsCglhjNqjs32/Y6PkGhPpbsCgIIwpNV7AM6EEg+4i0S13s3rPd0
OZ4SJz0mZcVWiXQ/pNojYTd+kUzbUGQHIDU3bHBO+BLOwjB4LLPuNl3E3ZybU76GtUG5yWOuoE4e
klTsKt1ck7+DMV4fHU8cgdOp3dh9h+uc8USdkTV7yKnWokoe1SyvA388DnF16MrkmMObTWDSwFkD
gR/ZdDSyq3wCVleW3KR2dIGzf88J+NS5+rxskQYvAZrFFMfTDNkHC9h+nr2veVQcMpG6m3GRQMqm
yxpIZR/bRzR/QMOTHoUmAEqy9m4qWDFwnPFuJ9t6xPTODOJzn7uEvsWnxCEluyLHMeNVdmRYj9+1
ynYArB5wWHxOzfDoodjZ6YrOKyvAnczqaJPSkE4jHIs2+L8i4enLH+feDc+meDhzBvHaZ4rbWwV7
0olf6IEUey3ZYBbKJoo3QppBqX4f6fm1FVDRqvyeRYeUA8s8gPCAEuNDZAedg+VTbPvUT8LHmH3c
AqWljHDsRr2rny2QoeOxXswpQnN/RIn7Go9aEcxgukMk4+oM1/K4JcHxtUtw51ACFtd1H31tlvLj
ZAhgqfs12xy+xs4fijPqNLJpKrrKrlXQhZFjfkiMHu+KbvlYt3yhoewvJrYp1M3EOpvsgZXnIFN3
bxrvlAblTsSfPfGhfShh2VaAx3TELgoUUejmTDNnHn2xork0eMFSs4jiz+YLSr+6dQ002joYd03s
fCtHXZxVpXc25gvW7IQUgLJHf5ac0mk8S4x1ZVyxzy1YLZ62aftZJNnG99JyLoAw0s4v/AthQFg5
BixTPoGDz9RT6LZXZWCuci0wTlrHGa182yzfYgwtlIqji7UXAogIDxpie6NaulHxGdGoZ8PY3AZE
PdNobe6NnZ8C451FtQRxnhyx9D9WOj6YlF4FkWb0V08O9YsOymsVDlfpKOW2tiaXBQGZxeAfR8bx
y7zASHWi12LWl05ar7CBL1XufCAP64qw3g9TEZ/5UGs2zfIkAMnt48oL9kGa3ZBywayh8+J9XTKj
FaCYHTBKdnzVSLF4O6hxODLrK7EQ2P2/O6D3OyDHZjvwR1ugver+6//JXLe/3L/Afv7J9ffbz/5l
C+RGv0bsfPwocKnZBPvdv22BnF9RRAeUByscNQoZ0P91BxT+CuA05qfY5wjHCfkwv9v+XOdXHILs
jgJnlV2taqXft4K3v8lB/kjo6b7fAQkbcU4UBJHPHgg1gL3KLn5QcFT0ScckNivTDp81zZs5WJPI
tDraS2HkIY9rRP59DiV9ixRruSyxZmDYhy3Qrazlhhci8IPiOOvYS7ccC6OqH8/5RySJ2U2rsVDh
+xr9G5BdlSJzhEeKiJeyXnWPmb7QCxz6DZ9g1phIKmJQar9tZnjoloRbBtr4RWc5rhc39jyzz31y
q+YENt5+Di3/A1EPY0romEq/0OZsxKbpFN42D7INoZr2oh413c3pIlx680nB8iHnx8KvgVIg9ObD
QEfrxQozKib2m21AHGJM1oBPLH0F/BODzol1eixuOApV+4xBqNksRhb0iaeaKvIKD55MCfllp3vv
LoufApagJ1N8ZLiKKSfTMgRls5TxMSRZQj8DNBZvPNVFDfChtRYSF2ieOvXWxVImd8aa6MUUtj3L
XWTK7Mkl5OweA7FTwN+yPCKsqNzrvXYAHi11Ke4X4DFA7JyWQBAy+BpmkRZhX5tce/Q/K6vQmwT6
0LH0+/bejpbqM6YwmzikuYqfAjevvixz2MygJeys3otZzoAJGk6qT9CTv1uvYL4RNI7oBxb0Qpnp
Dv6tT47OndbJ8jaPJV6foHRfZJZUywYpZUZt1qoZ5t00Yi/TsBZoDgTh+IyeJvV2Qe6rDBiFivTH
vBPpGZvPFnZzWLlf4VwntLXI0CFGTbtESfQ6MGIbY7EEu592kb6uRoGp3umNz44nU+NT5nY0G9zB
EKBTu03+IQeCCT98tnosOpa2HjS8aiBq3Ui725g0ug4lqthNzwsCA1QTNhduNYZMMvoEXk/Ta3NX
UBcXJ7v2nOekWDX9fqc5CSmTZnrULTfHxiRdu7AtcmmBZEkOo6HD1fbBK4p1JBy1EdtjuyiYvlGH
yU1MVD0tNlESE6eg4tgH1DIkb8al5m88BhrHxB+Ym6ag/ZJdCnekJ8eRRhmCiXUy1gcIOzZTP9jx
Gl6IjDidStJR6OxEgGSjXDwFfgPQB+QPxTJ7d7Ac23aEVHKGOWqhadTrYSFmgYi3PVPV8ZshvAwi
0SKdR1GE/BZKOoF8InbCfSHQeCKiGKuXDulSsqHu5v5CzapvIYwi6umGzL0iEmIKNyAuFob81bi0
25BebrDhTEbXZMThvkgrv8XmgJX5azoP7TqUaZz7sPfK+0jBctSYe75ohcbmEv9J+ECCmEvcaCnM
zKnW6suAx/OlSIIezMAYBY/wj7phj/W24V4D/+4iCWCkvRNBk3/pFbCRTU+3Tq0wzDDexTwGDG6W
pPjk9N1/s3ceSXIrW5reS83xGloMatAAIiIjdZJJOYFRQmuN3bT1Umpj/Xne+/plIKMCxjcuu9JI
YzpcHz/nFx2G3DgYua/ugL8P19fAwzc4Lk556Ki8eeF3UwsQj81XR2miEnzPDU02A7VoyFd5LtyP
fsFt9MmyXG5sjd/CZc9UwaVxRdgGl8jq3NayKgWzpcce2rKVj5zSr8RSOp/QcdiAp71Fta+aEv1+
1S8UP3HPNoLYwwvKbneQS5xdlGn5rg4kkrwZ0JSfggO277ABPDZ9FHtjaCHcFrWW/TEB17u73Pc3
sDzxQSbypLz/AVaaq4GOFhLiENpIxs11f7RkDG1IsxYbgMMz08lFq+omao+a9kLmf91tEsukddtM
1AOofE8zBhgeIDTpkUhSf8ACoz7m7dxt9E3oCrxOSYCmFLECbg0voEqA+6ej3dla5XCvti48ZK90
wZ7sPi3ujw/3kfvY+t9Gl2S0m2zM8Zm+njS6hiBaCVYcGY3axuc+uIqBEeAU4xlFSjLC3mhsvXTX
PRTT+2o9wVcLcXeiMaXgjTwEWU5Zo78eYH9v7Ehlq1/iU141lbdFa6ViMFFad3sPmTsPDpxn+6b/
7fCl9T/gcLmxbJQ172DdvdXOJLufVRmPJSYQ/V7+0t3ALTyccbZaErPyGvK7bmm1MW1Fy2Ylfumd
4WMSd926H0nFPvDa+oCx3fHyrlO2mlslyzStyNRMNDd73/GYOCB7vmv30X18pKJ62Jw7sdAv9U5s
lFdz50xRATCW5kbvO4Pp/ijc69/e+4+XeyU++r9vxZRXOFgd+79MEq0se6ILD1afV3ibM3W5L6a8
AhLDxlR0CtCte1fvvqfe8y/j8O3je21juW/1RXzFqxGb0FdPK4ASrv4UHOraLT4mbnEdbJ1Qlxe4
Ka8OC6chQ4A4KcXkK2BAHvKM7g/rzrreIg+oWw2tDgqorvhGi1FTD8jVchRKO+W+Zh8pfukZu8Jt
3JvGve7dxJ0/XV4Wb/hMp3uLt9vpWM5qkWatWOy5i5D5leI/I7Dl/gpcKuZuuVfdaGtYL59V5vol
FnZTbPIuaF2NkwNzAnbXcMWl6+E26QGK3IU+Fsve1mWqiLV3aQesThEIXb1Zi1Gu/K8fqRh4hfvz
+vHbxniKU+9SK6vDg9QIWh+16N179br9WN7X19r34BHbNIpM1bf5GbjQg/ZoPG+0e/k6NeXVKZLY
kmp0Le2K0zh7KO8Cn+yOa3gfqIn7v1HhZRXJ7u+t42uj3Zdb4tVezKaxH+SUdrt9zM0z7sqDdqf6
m6vmXDsK1iVUUtBXNvVV/9rUzgtZXKYwhncKfUT9lRZ1z7lBj9gzntrHwhsOgLZunePG2J471V61
bazOzrhO5gwlY/roI//zMdtT+d7PfrpHifDqbzLj/5Te/i6uHX/+53+QI7iceLr71nwrov/6vycp
p7//1D+rbgpyUtBVZM3Q+Rfl9H+lnOx/iKqZLmvIoyqaKfJK/z/nRGGNEphDNkqxEZtSOWz/mXNS
5H8AhYQaR+WAeNiAvvgHOafVLaWR2tIxpjbFz4GrvF6xatLx5SSAoSQIz2LUYePP9TLn1GWqQH+s
00HIGdmYIINLy4ASb6za1Xkn2ocZCs/P5LFmWC8x46udqalSqo+dXLqz2T7C/klxkAXiNuD4SsW6
jYz3KXg5hD1R6gQrEwSBhd1ZW3+IGgTM/+zK/utjYBZR53AUxna1hVA87hoyU+Aoa5S8s6Hvvo/m
LIFQnnjhz0F6h2Ay4lnRBgFIXJ2vjuO/2oV5aBCLgGQ1V3c4uryZUVeA9Y2ZGxZ9XHS7D86ARPbG
cIt7ct0QJVZWlaapBlwqfv/VaOdFkQQ9kh1IxfTBhwEPVqSbFSe4AezRW4fLc3uuMZExFdY2PJ/W
nLuOIm8kdeD4F0b6ugLgfD8WuEAOZjluXCyr+0wMIFc0zUCOsKDliwF+1S8l0A2yZvTLSqzgZ4KS
1ge7s4ZDijz2VZIg2/XHXTMxvIKhCssaPuUqtst05K/7GYivWVq2LwEG8TAT6QEp2fqfT5mtqxb1
ebpGBX61NmJTAH26hLcn8qQhQmo9htfGUmjUfYv2D5/ZYiBJPtMxxVLAGr5kH14NJNocJhZxkG0U
wHVeUIqymVQDYPYC0E8/QVgNyHnzWt6gia7CrZd2wRnQpIZ1CNzs0wkEz65kqmbR7lgA6Z76WL9X
ZxmsWxFHH8ZSL2/tIZI2JALOrFBS/aTQ0G8AF7EO8gZrIE2FMRbQsZQyaMEur1Kc1S0LTdzLK+bM
CqXAgMC8Au8c9v9qhS4wJi1wANQs22Xxsh6o6mwO9lXfBPBCilC6vdzeua7ZsKipdsgANNbtgY8O
UYeBBle2unlUJVwxYF+AgbCx9brc1JnTy0YDA2q/BYADWaDTudMRZOvCGUQd+fzsHgLX4ic6dex/
oxX0EA3EO0zTWYdwMr5n5Oo5TeokA1AVUJmG9jNuKCecHTYI3EJ6kSvYWu22lkxIY84ohdYZ3gQe
aZpsvtITMtf+DD9hiyZ8blVQ8tEpU1GZRwjgdOhkeTEbfGXEAuzeD93ylJc14hvgXFwLiMvGRJ1r
De1KGx0TlAJ0ASx6fUpWRZuYWsXmbuY6vC5iBLChRFpHeZqqm2Vc+o0L4MzC4ERmNwNxoM21AAdS
fNU4SejqjAMoSHeJZBWyTKkEWwmzM7NGExq1M8p0OsnY045NFbLzHThUd8JmOBcA2t630tKOwbIG
zfvLC/HMKDKIqE6YoiIIMOq0sWCCZ9eFNlwvxG0Ln8+pfxSNbmCoIZGRdrNBj/78dOTGZs2TYyZS
1MXp+epUXqBugsiAYJjgau2lEpwJNYhdavUU2gPwOdOkjP7lbp4bU4WwUASZKqHr6okYdQkOpxLg
A6vNrlX8eHZZrgHK0tWtx9mZEJTr+18trR5NZiX3dmMyoA62aRhWYQD1kfOaEjusGjgQXWfm78Zl
LpRdAqt1a/GcuXoci8PLFrEKd8xqcAH62lnUQhLrpqU7LID3HxfkvfzaaGssRAQyCUetT5dH92yj
pjhm2B5Ue1eNNrkzKrGN/mY7Mqixk6Uf8tn8EJlFs5fNWttj7qxvtLl6nIo7VlwEnKDiwfH2cWov
YEa0Bj/gosa+LSqunWrKPgFjS36UuZZ/NfA99g1Jbo7qCI3oco/fzjKrSKgh8DDm6bI+DGS9tCYt
A6LaW5PyhK/E7GZRE35Dka6/W2xJsC3q9k6q2o2b8O0pJJYvOwftHRv44yq0gNDuQJ0vCjdAzO0B
lVXwXlqiPl3u3ttTQbOIJahPINfL/4qveLVFB6vo4xhhSbRj++hrCDo88qm6lsVeD6byawdjeyOJ
83ZAaQZdDYHlVAFhrg69CB41JiJEFHmHpDWggMJ4dPolpXSc6mg8apTfrSKUBzeogqTeOB7Otf4S
1UMys4Swxqq/GJXEZFFLV64qKsEQmlFMG40SILqDxK3ixkWwjH41ybghjWgL/ro83m+PJ407RRa3
JhcZj8fT9s06jgmbOTTUCVwS/3yDJwv/Hh28/R+3BCRD1egjDfKQP22Jt4TqLBm3pjC6KfxisamC
oiWCsrKJE0K0MbBvdykYXZ4VxIkU1P5yyX21kFq4jMnUQa8z1az+yYXip6j1+kqKa0TXFeUhzKFZ
VyMUsWTW9I+XOyuG7fSBSOsmAhsE46jgrNUvut40076l9Yiy+o1SQX0wkkL94y0pWiGxQSAsI2m2
OvHZITaWLdjgyKPkIMis38NJkI7/RldstMxQGDNVnAxO563VdZNqrPDaGZfqEaHKAMq9LA/RxsF2
ZudDnlfJ+SETR7C9iqrQGTfyES4R9XTsPR0IyDDswdM0jjVdw8mR/jhERcKHmrbQQEEN0Vqt/DZU
57IWUyRJGDdmg53dG+EAVDWc9MfLQ3huLUJmRckOmTZOm1XX8iSGGxrPxADW2B7lpMaBRNFzX53H
7Ii/lXxda53xhKYNgGMr2irUnDljCOsYUoqwJjmv1RljZOmQNTLBeCDUw7EIcupH3c4sG+tEq3lW
VclATFSP62c9RgJyo/Pip6+2Ar7WItMmFORAHJ+uH8BAFXotCFEomCF+YTJi0y1UNqPX420LAyRI
03ewSIx/48ChYUd1mGSOnZfK36sToMN2EmMtHgWzgr+hxBceBxvVVsXq0/eXJxh0/aqXJCeR70HF
xxI5ONxHTnuJlQjq5XpvoNi9gA2rQZIirA0ttwfgpNbqIbK0Ap9rFejmPra7sNvbadYsfqs5+F8b
c6p8sTq7LDzcNstlH6u1/auYq7mAUztOuGRicXzMQvGaGfKoOYaDjBydqbQd0blhWIio9HEWeJY8
4m67TMPsqUE/ADRpsL3Z5YQ08OyHyPjdLklC3VipcguEbV/fQQ+w0A8cFAOiJa6/P/HuRYK+qrrJ
3iUwvSQP52J+LB4V07fajLMfslZA2ERbS44xjpggUuVtC+NS6dE8A8uiS2TMQ3u8jfIptm4USw5r
t1H1VBGmw8uhMYfM8DJJh6yaEq+Hu6ZrqndKMkNsHOYmfD9j+YhfON383nW65nD8ZGikLL2lRv7s
mPW1hO1OD3Bayb7qYQJmPyWsyF0lxrBEzvDPc3WnK24XEykFUD3NtEP9G7iDxBUAzdVc1LsI7Q1Y
9w1KOWQLO2Uf9bji+lMtoewBk7LO/Fbvu2u5M+rYt3gigLfHx+cJ9yO5AwUPhwx9lgzit9NPCKBa
6G18R5IBbQFZgb2+54INOqyNKhRfQbPpMgT7YnrKrAEmvtY7KYABiM2VP8ZlVXojSOp3/exYPPCc
vnuKskCSPRVo0k1cEfoT22ucI3Wu9Pd1pqmV31K/nrzR6OVnNCNQdeIQAeeOK+znprS6T3pnCyUG
vHUm30ZlJnS1KFB+JAMSID5E1VHd2cYErApv0w6xjqlupj363NDd4VKnj4OpYJobNxHoCSi+6I5g
NUJwBEovbf3IAv3lT0oxzeg8z5C3UPrGGbMg/QTaGzpj6CXqIn2JyhQEHggwGNVI4ywSsuKhqblF
jpW3V8fV0u+IWeFBlPEQf7IDFqk/hLkj+baV9T3u4xXO8npW2095rUet1/VS/TWoSLrDZm6Xezj7
MkOFOFOP/JNloLnsBM5z7rRA5LQBjv8+X+oUXTS02G8QH9FmP1qcUcadHdFEHJ5jaLZtM7fPOB4M
oEbNqf+B+3ONmn9B7LnkVvTMamAY8OXETDSRp89QZXDXDW0I6J5TT7p6THMtwB80GlTFx9W3ab+N
cFbG3+B7tMpDX3OU3KwpZWTKLW2s/CDrquwwFGhgfM71YP7WVg0WbsC8ouoe5peUvquQfU6R51ha
oW+PWj9hBc4DXqYEJfYE1qiQTscfXkJ3wwyy6zqf5ulqMKoYsyEVOhjI1rnRvWUEyPcZeYr4McIX
J0KEx8K+fVDytHf7RrY/jWBzlZ0+5Nj/LKacLVcS2TbZlZcG5ydrNkycjQrlua4iwwI/mZXRFXoS
auM3eB82dzb+wdnnEFhpulOTMiofu0KGAN2PQf2zm7pc8+VkyXi9SHav/cKeMYV/khnB/LVLbDKy
Ux/NxYFRNWHEJJLq3MS60n6b+fXxAbZvkT8EVeb0d4VWaB34diOAgu4WBsTE971ppyF2uygZHBNO
QMvNOKdgORVZfDd1ywRiNifivBsREeoO8aTrEGX7Wv4kzcMQuA554wwJB6gk1yGyxt2hChd9dLOi
w59CSmvpoTO6wdmB9RtiD57wBFBkjBFp6tHT6iDHmhjCNcsMpQQ4pIXNp1kqj7XgzkdmO4yHBAB2
B19bim4H7CKivYZ9uHSTRXgifoHekUT3zmiqiEdgFVTtUJSytCuuSISJxs5Rxoc+QBv8G84WmgYF
JjaBpeU6nkbYU/XSbZfMJlRRgk/YjC1OfnLaF8hJO2ThngoEtNsbs8NFAtwqc7/vHXX8redB2lwV
+QDxOp2DrmVCAis5hrKS/EBPFqlIl8pc/xE9xMr2MvwNFVK7CvIheS9V1g26M8Jipapm6SrOJ+ed
qoXAdtVh0UqvbqjVwFuVp8g3qgGyqR50tYwvuTpkNzgP5da1AHM7GPtl+RcLtDNnQ1L3RCdd2WSH
aVaHzu/wZPuEYEIfoypPl7wAyaPvViegBXE/V8cmQCBqNAJFcoXu4a+5teZPJrKEdya+iA+O3Od7
NXPSByWz0/Ro5n09ekWLzwAFuVld9m0ZA7/N+2To7q18bJtjgZEXKnltMRkkMOZZ3k/qWA2e2ee9
4s5GATqvUpEl2Ssyrgz+MnM6e82Q6FiHYf41Q8CD5e2paHLNu0wDD32fy0OOqyQel+Qsoti2dqbe
LddjO6TpFdYEo4R3M6AkF82EEBOPBXUrt4OZzAUtpVqwK3MELjHOmOLsU2aVmn2AF13hwDDZER+C
RA5hTp1BECkwqQ3xGauW0WO/Rsjjd1EFOx7Q/HvkyjqswpCDYjXqaE1wWsrw7FuDxrzOAR2JBEsM
dgEKQHbTzkVg+OaYCCqsgdet21A9vO8LIgyvkmtMnFOz5pGAX+zyC9MW5c60hENZ3vF1OxVKy6PC
vmhuo27KHlqEhrDDKuMKW4iw5hobJjmrdtzDqODMc6AitNMv1acykdWn3J4JMyDktu9GxLUqDGUM
cK8a2lrkfMJQQ4ZK77Xf1D4soBghKSGwwxUiuYGN+9x7NJiLQ9KZE/okYLZlyG719KQPbZbuB6mS
U3eI1BhZhYFnP5t9mG71ZUCPoZvG8HekW9G3BI+0lpVr4veCKDBljSy0m2LH0WUke6zXoK5ElDf7
A3dw8rSgXwH3uDPNB8uozMSvBgFQzo3K+YqnjUmRZHbij3bUgp/WwqEtfbOrx8cqISmJ1l433Yas
K0gyFQRaZIEC43EErnobV2r6ecSI9XuHPnLoa4itfWH1oogWG3ZxPWG4zF1p9HXqEZVkYgVJSB3Y
SGlpePPU5f2IcPC9OYVy5fJMxzS1ykfGq2vaH5hqyPWut1Vrt6gD4hyTtSCVncl8jDul2fB7mLPm
Q1H1xe9MafTrWNUCrF6wPcoFxn/QvbCSwh8RkhZoQWP/N+/VJsBqI6nlAeKOibcn2qIcizE6QJiE
4Anr5wQR8y0Sw/ER8ah28FGVGEcXwDt0OmcoWFtVZtbP7WJrA2qncpN5jiCiu33FI/t+WqyIyAvu
ReuNPTlK7L/TZjgaeVjUhGFRTTBWVGCnEQOA4KVGuop2Prj1pBDo7SFIvbZl0N14QDWMWGHIDypW
CsgfVBHGSiMl/MqjsstrRcJiI9lJY0PouegLPHZyu9m7pVlaflke1GWHFS9nNuWi5nNrc3Lj7Iuf
mo8iRoZTppLAbDXkRnb8bCBg4M4YUEtoIuG3BFew2y12Y0DyjHp+bOlgFYeIg4SkJXKMi6cri/47
HLEn3415YCr3qiaRSU7giCIwgQUgzAtFx0YyHCI4htKM2qcvLQU/fSg0xLs4IBDfsrj6PnSt4iy7
uiHo8MIAd8IrZW4SfR8rHVFOWcf4bZvBMDmwRWp0HJyyweVVt6Uahp2efyjnISP0tLRFusmLyESk
x57rd0GLDoXbSSDE8VVuKnGQjOGy71q1QGgC2s7tXBd6BaEvQpCnMhtL9mx9yiS3VpZOUAns2r62
ndj+RXzHjhsClXi8k53qWSKJ07kNfEYMXzA9dSHFxu+1JTZrBOSs9neaDzDspdiaSPN3LVoSTTvb
SN6l0fIbjxPnuphgOu8QDdTepe2w3C19Nn6cK6OaOb2k/Mpe8hChna5m/MzcSbCaC1R7D6PIVI+D
Ejo3UxnxESZWeb+he1SIyRdpNHkGXmGYiDUSJV9uTR4IIZ7LkSc55B6J+xE+FJ4I6U8jVwf8u6c0
xqTUCmaMcvQpaTyus0jzCyvD+0VSYBqhY9zyKyWApGfUHav+sAwjUmdpUeNyTxqVJRbw5bswnSMT
Vssk3SDDM8dX5WLC/sPodR69cZSQy2LxI73RVHjM6Bx6/GwpQjtIRaJSGMv36E41U+/cjiNKNq4V
GizoUU3mfIcFl/isvp++yy0a2V7ogJTfNwle5KwnbhwCSX18HhccQx41OzTyq9KJZI0JmDGKN3vc
2osCfrFvYV3SceJFpsXroB1/NVYdPY2ZwweSCeSlMpBlbUgQyDQ85m3wkIBk/yBPaGRB/yXIdYlc
0aYbYVUMXN0T/dFCDElgG2NXGUr1+CuRxTgi/hd1uzaUMUYcIzPTvURveOgQV0VPSa4J4bim4nOK
eBh/yaHOT5LsTJmPqAzJ4bFIHFrQlg6tPm4757bB89y6tWY0WV3iXOcWKhl/vA1GrIjizDCtHaG1
2IeIRQx7LV/sPa6gVYTSm6L8Npu8/X4577DK7OigJiw4GeRWWNv47K1y8kYwNl2lWagpSlBqUZTA
me1KDoOKoQ9wKgGqxINMx5UEkY7Gvdz4S274VWbnr9ZFKlfHXs8x1VVmB/2PoG5yCfJQibnoos+h
z2NIJS62P9YVHIMazTveeWW4yxgRv0js+YD0WLtDlBUiBYqgnySNNbTxXSKddum7xKi9SvwUco2E
WBWh1BPMdbRrFGy7XdRgpx18tt9xATyK9S3FsovqF8SfLih2Kd40bpMPvMdqs/t8+YtWSfa/BuqF
3iH8EClXnX5QjZEmgVNC6jvnkQxfFrHsgNuAMmBbmuVG5nuVinppjZQmC4I8KlwPMTyvul+NejGm
Co5Ec2LY3/UYRiBiJPloufFkTN+DtFQ3UrfnlqEF1oXknimAaKtUahEEbZm2NgFmXaiPJvYwQkHL
3qFNOB3nQXYOVRH1XqmZG8CTtw2TUISWJFYg7a9Rb7MpGRkSVzwnC/wUSafOdzOYopspovTXTHjb
1XZdv0PaONxfntJVSpdBPm15NaV2OaS6jLAOtKgZr/hSTQbnnoNgenDqHFL4GCxctjW2j9WHXG/U
4ThELT7Sl79iVWb46ytAOAq1f8tS7VXWEcdyrNZ1dmDGHcqTNVEf5qUqj5dbebug6CvCJSwmE1CY
vJpemo41p2Y/aaPSXRs4COO/q1zb9Ti+tzR1S8T/7dBS3GQZKeQaqJlrq4IDB7Dh1BqdWvjdr1Iv
3DDTuj9Y6YifpgQLBdkt7iyj6yHj98rhcm/fblaKj5xpsKOgY73Y2LzePrZO1iiX2D5Nx/O1m5By
7TUOKjlRri63dG5ciaUVwGwgxUB4rDaqg8TaFFPKDbAKPmZJiIw3D1YSC5bE+xnRROv+32gRSrQM
+UsV9fLTFhXYzzUvXDQnI2n8EcyShDZYYsGEbaIUc8jZ3kBcnFugIEko6gjwLpqjpw2OAGT0Ugs5
ipuea91ZqrbyK6sdio39eLYh0HYwyHWdWVtVF+PeHOt8YCyXGlHnousImKep3mjl3IxRrVUAEQIK
U9a8mtGyuyWNaKXrI0Nwhp3lCvOdZjd1uKe3kdRvFE/OLUayTjhZgHDgiF1tcLMkgTrbYokog/M0
FkuN+GsYWtKuz3IoZpeXx6pU83KcYEsLyohquM6ZejpbpdNnPUAqlj7KDd/wnufGwAUvHpbq1m5x
fXSJ0YaPlxs9c4ZzWylwETnANQrEp40ugY3MWFkWrh0jwM4UB4irzIGrYVlYZ+i6IkKtIxQ4Qym+
3PKZ2bQAC2v4CFCZozR32jKZ0TKya3Z6G/T2F1VJYaPXvTJcYS/T70MtKnaXGzyzSMWJBlKNsiNT
Kj7o1c2M+W1n6BHZz1yTQIiMiCD1kibvL7dyZhYtFc6XSd3ZBn69CgqdOQjRp2PPkUVRJsLlFF1F
DTq+vBfcROYzkecHZUZfY+NAO9sy9xBuSeSHwIic9i+wk5kULxARUrk8MCZNDVB7Ym+4M8ig71wt
OS7mijEEGw2f2Sa0JxPyUOujy6uZbChRWF1Pw8Kr87ot5GFnTpL05FR6v3GinekjKCuE78RpBk93
dRnWmawuo4FeQkmNzJcaSTtMBkovjKqmPlVl3HxOFWcLfHOmgy+lceCUAMFVedVBoyp6xxnYJFg9
wIpsQnwLSLseQnlaNnbFmUXqaBwBgIxAASKGfDqJSdPlTb/QwSBTdaEwNeEpZWzBmN62IgAnmMVB
d7bBhayWijyQmYtrYHFoGfQP6ZgiDh8lw0Z8eKYVoiOFvzg9QRCsjk+8VyvyyQ7C5ZghuzgSG+gr
RFtkszOt8PihtM4VDm3FWE0OqcFh4pWDTMJMKeUBfU659MtGwnn48s4+1xBhLsV8gK6shNXO1gZd
D0mPC60OGXXKXMVtJJq+Xm7k7aloAAu28RgTCnL893T+odMgHkG9i+ygkV5zeCKWSymB3k1Fr+5S
mPnzl8tNnukXSC8yc+CvODXWhjvImAJCygimkcrmvRbZ1b6ap8m/3MqZjlk25yIoYQv3m3UrI6D8
kPc/ABMH5dAyi6xbsHTtHrOSyMOlZAubeL493iXmCxNgfbENqtxbqOgVLibDFEOlrAktwE+hQ1Fd
Tsqnfmq0H5e7eHYgBaqbWwbIw5t8QI6bvSagiXOEvjYMnNDPym7542sMrARITyygxKm7fnWQeyVv
PXHB9JkcPNoT3rhtkm65+Yh1dvqKpxWDqwQikcP7Y3VCCJ3qEJoNTFWQ/vsom1pPS4YRqd7WOTgj
esppGk61r7a4zl8exjMzR7gFlhyZIh6Va1zVEMtxXYPXcktTDz8LvMfnpXf0dp+V5POEaLRq7C83
+fZaAZ3DhPEegDECye1010WjWlD3Q0w00IrlYGAL/TWT+rm9lVRyBghvD5pCSjaixHK54TNLBnKD
abMBbfbfml0EDYgAtkTGf4g66T4xdCTsqmr84ziW7sHCg5ylmAzYqntlNVm9g4w1InR2caBgCSgC
LKDFVsiy3NhYoOeWjriawXYxoiDMTwez51JDBRIsCBpJ8SExdVHWiSXdM6hroiYWzncGlbIDFZT5
+c+HE/8JwaASJmKGuMhfhXhWjGl9aBo5tQaDkldu4RowK6Z3uZVzCxRvP2JmtghP1dVwUo2rYPwx
VbmJGl1bSNJXbQKnOqd6fTVJ5hZp/dwiES95i4SSYDat7oRlacuy7YHmBHqJF3yndxWicVEstxur
ca0zwX3DDUCWQUQf/HsNlYunOQ2SSEM8YwmG0W0A7vRui6t7dmUoc1bs+tRCemvQGpukT1khPgpY
F6VeQG4b33JmkAV0jOcQY8zNvprKBU8WE81+DlNw7B4lxGqY94mKup4V5rl/eUbXADLRcQdgI8SE
l9tiDSDLxxQhRZUEeKIEIbKReR4kVJECAz/qCG4QfHKMS9CkqIymuJHJa31Sat5xyJFj2YGHWGoU
PxTcUKarbJLwgBp1DqsbSx0AuAQ8rTb22Jph//LBumyqxPkyMLs1kWjKnSg0ZdQEHTZzvouHTr4b
p0w7ABMvrgI7FFCsuj1EKIBBtMCEgmLbbCnPGp/bb2yI818DBc0xNZMrY71uErPLBpnipxssC8gv
0CjxC1NGNzzcyLsHA0HnozwOVIkQpvbRMllcaZhtQIiJ/Gew3L9G5tW3rCJoZNekBPxv6YLbC3dQ
JzOkg9Stx+S55cl6gYBKporzRjCCX5005RzLgaXTStjVkac3TvtLw6DmbkAP7hqzj2ljO5w5A4jQ
TLYk9zFIefH7r9rTzQXDMpzvXMvQ6l0jLYBY53zcGDuxqVa3Pq0ItiuPLKZytekm8JXZ1PP6AEJS
fwkSdFnrWg2/wW7eCjDOdoiXnBCbQtdqrfgxJFWTUzgn21FZqQ+Cs0N5S/1DTvLLYkANEW64yKi8
Bd+GVlCpcNNANoWxvS+mSe993m/RFun63MjhEcqFTY1BpDRO5wf7N92G30lDWLvv4RUkvlUO1lMV
hdr7y4fV+aYw+3ZEuA4T5bSpvJ1a8DhMUjV11QNu9mBLUozWBHZ7TD78G41B2iKxR+COrvZpY3oO
g8cUvguQ36J933ewiUC/+ANAlf3lps6tCAI/rlUYi8QNq8U3ZqVutgDEeIcY+VMqx/a9aQ9bSlHn
Ni5qAZZIOnHBrAPbIhtMypWsuwL0rIzX8JgAF4rHjxF5r33VB6l/uVvnposUIvQz3XYEh+d0BLUu
ikIUkolJyhQ48ZLLH5oELAOvhWhjst72jRwMRAFL0I8d9vFpUyOCY1mbA7hAvKM5REH9VNrNNdA7
8wqXrWGjY2daswHuQxRyCE7geaxa6zUUpBNsSsBUmtcCLPoMiinZRUq/PAZ1FGxEsW/XB1YMioNZ
PQpmCD2s2othlOk41QEnwZ3oC+aMQHNweX93ebrOtgJ1hG3ME+6NEpEkDea01LRiVWH6DYnO5j7K
oy1/1jNjJwIsQ6xCi9t7NVMUARZUJwFyFcM8PCpKYCGIWiT1tZ6P5ieMIbPff9wtliBUFRizL8Wz
08nSzOzFmIAnwKzzBMjVn3Fh/SERmNOWV4bOscSBblKPXAXGqtQHVbGgv6OVGo4PLeas5Kz1wsNC
E9sTmTnbiDzezhbnOvh63HtRTgBycdqtegAJOw/U+uas7m+tJQnu5H7Uxo3b9+0etjAOsKCHW5zu
vLpPm7FzSRlsBznQSOsQk03zX0uF50VjJn9L0pyYQbwWfHzTIROolcV24uGtiof3aUshUF+pl+vK
Veo5/pKXmNmnXbSV9X8b6NMML17iCVwP4P2smrEQtKhtC+mRJh21GkSLnWg34zym2t3QV9mww9pV
SndybWD1CC3IGZ6ophIYF0q9WYk712dxhPDm5zSh6nfaZ9RZ9bjM+Ji5yYbShdEd3eqYdP2ZPgkg
DY343mRhckCasChPm5Fnypi6SBSW1mj7jjb+KjQ5vHrZZ/8jKfRKUogqtMht/a9/Cva8sfP43/m3
6r/+z2sJ67//yD/1hBx0qoXaNAkPaGAvokHjr7b7z/+QDF1IWKvkCFmcPOPFBvhbT0j/Bxw7/rYI
TikSg7t5JSf0DwCXDlJDqMFAJBWwi39+3eNfAe4lCWuxEv4VBht8GDRjoPY6hVPe2876ygYvm6gh
ImJdiKbHIQK3KmTzDafcgSvkFaMiWTv7yyDMapDXV7cevyupOPEF5OdfClUUiqmprNZqJVlBnwJL
c406kXR3GeoxuJrThkyDnQefI6OFh4ORkPLZSMqYApPU8uJLtTretbM2Ur+bgS0cmp5S+jFJ0I32
dGLh769m9e9x++8Pq5evNIgKbYYKCSjDXH2lHBdpw8EL4Qp9hHcdu+65jmEOXm6Fu/dkPkx+gZ8O
sV1FJphrWeiav378ILDdpkMILD9sG/zELKVFWqJsLfNH0um226pY6bl6oJBzsgO7eq874/TQQTp+
tm2cG0Fhx/jtJYj3zjupBYcLLYvi7kOVzg5igykJjX2Idrd9K2HTqzwG+J/qd7EdTup7vVTmeRfE
0gzabgb7dgyVUlt2cgnM5dqk2rB8FGohOLj0ZvmJgL3QvDlMa8cDPAkCDJQbr0Rynak3gkxGgFWu
GvNpVKLB8TDsrIubiTrPsMfxeUHct830YG9jcW3uZVC/jp8aGgi3sVFBU+pawe+WxMnjw5zoC9p9
kK/gCckxPxnBVauNXKgWMg8cBanL9rq1Iyv4CPwPIZDMXNLOm9UowD5qcNRPqM7W3RFv2G7yzSIN
4qulJGf+uYJZsBzDVER3WQ2dzItbomm3RFkr8aoMS6WDBIum8eISDYcjNC3J9sCnpHcsWPDwUBWG
aQd9wiJ/1MmjsGZr1c95EgJIlUjFhG5iaYDJM1uZcOgb7eSzs+Q8AqGSUaaMx3nGSsMA6LNr23xR
CSEW8x5BK+lTPKVw0ywErgsoRBjG7dIZOb6dngADQJd8nDoXY2558HNYdS0Y6FFuPhaOUztHAKxq
4mObAyup1hO5+hgCR+nu+ynBrCvpGv3Z7JpM3yU58Moraxlk85hJC+zFMcgnQOm9Wc1f86Xo8mdW
fzX6hW3bH6pGU8tjG0Ap9VAs1vodwkv1T6PTqus8VajlR6GNZ45tD+AGUkdx6rtYogbtIlzQ6y54
2GwEJz3A/EnJUcWPOeo9DTwUkUlR/x97Z7Ylp5Jl2y/iDPrmFXD36EPRSNG8MCLU0GMYrcHX10Qn
T6bCpau4yud8qVGjTkkIB8xs773WXAXT8ajEnU9T3BCE0BRTB7/cLwrr3uSARPBLYugy1kvSOz6p
FHvrJwIt6i9p0xY+ntOKUB8k9/ZHN+8JkLEwalgRaPPFvIBVVC1xP67+bWKI7LFgmvdZryUABZW1
RU8a9KxOdGvNtKtZuu4YamMmH30Du27YW1P51INiuK0WUXxxSYmuT1rEvTftPLs3mdDTIQIq3T2l
vtGpyDR694wYMU/dYRtd+CR6It8POPEIWZnhAMid7iW2iiwRdM7JSooIj5Q8pU+CxGIE8Kt22nWL
TjR6kWTA4FuUzlDlCYIN+57wsL1jm9qVsZSEsRmOcl4WI9X4xgs2pLAdTGnv2qyfwWkNtM06VMZ7
118Me4+eLD0Mwxa30S4o8ZlJLSjz9QzffDRxXooxUJrjgTTO6cmCq1NFMlnWPnLKiQdIiGWL7hhC
ER8YQfTlaZ9PHtR/wvsqsh+SgEDVXM1TDHG/V2epPlYLHqvGOylxQCLkrmfiznRELQlgdi4VjcKk
GG6MMbHJHBEugbnK5BXsmYLcUtSZD70lmik0l6D/aBde+tFJVfItQ6h2A9q9VtGad9O6D6zB+ugJ
55Ew4Py1ZHz9IPLK3cayziLiVKOPheGtN+hj4Y6YT7xW5VfjkBVerK/ZOh8SpGd4hsaeuedsyE5G
eDbHlHAS4bzm9UqcWl2MBdA7rFWHalgnLbSIOzF3ozVXDtlFDvbXocJ3skcyRppzhlje2IEp8T6R
3R7MB48E+fPcgYtNbkNqkeMOLhWVmd3CYkBSLT53RT98SUfDYJiXKWajfbu+aoD9nnytytODsqaA
qJp5/kwU+E1izrLHcYtBhFF6bV50tEzilUHIhyVo5YPQ9VdTpjlQS7acJ7MizSadb6e2zD57nfRO
Z2TXh9EYLPSL6/Bl6TqqCqkW5FqNLrRPJl6Mp3IasiCy6mDTBiypfJprcz0PsK3VoSlk+kzGpSLg
MBkHL7SIvXttMAlUu6xIl5es7snRQi26TzvXuCsLCa4+2CLDrCL/mNseacw+iaAZcmdTPLa5CRto
5SpXOLg6aLG9VZnPiysGN8orf5pPZt/OlsgdxvKrW5g1UOrS4+31yqQDGO11ZR23WYAUtQzS6sOa
50hFG83JrdDKreau7HDj7btEikfywolUJKyg+kSOnmMybExGN9aC3uh5g1P7eg6s9ovFnqGFqi+a
L4EPUTBy23LyzwxsDylLe+9UIb6B5Vpk07iEeGVT/Yxayr9VmKCD0xEwzXXZJoMTmV5rDKEHiiKP
MI/h6Vsdp+ouLfozL3mdpm4YWBMf9QqwyIra1GSoO5c+vp5uzbqvIwGJdCKEKB4HW291lPGyuGqK
vPgw6gVmklQzBuKVgnV6cP18W0IJeMfBSNGgxXWRpTdJ5vp1FHjtZMTIZs3movQqcpBh8HEUFJUq
bhZr7cG76kHwxEsF5PB/xcNxEA6wsU249/8uHi5fyMA5dKLvj4ik3//cvyoIR//LZDK0zdo5orPD
0eX/VwXhGn+hB6GrTBOWYD+qhX9XEBrpgehoOdtvpFDmrRzs/w0k9f/SGTkHpANa7lZhGH9SQVAR
vT2zbrMZQg8RvqCZ28qYoy6tpdKOAA4CeVei0rD/4HvH6MEp6KaF1+CemHri2+Gi1vRpTLBJhG1t
EWEdKFunssCIRSG8NKSL+o3Q/Hjq9OyCIHpJCrc3ITtKEit/mVuzdmOE5mt5aIVWVSH9H+WcTaas
MkZB60BcGlCkHRys/rO0IDKwI3WBeeqir7snYLP5QFh5yhkLmkkYiDp5xReZneBeM57LIQ0+Micw
Esw9sykxbFT4tBxcJKccdDwSOKfF2itRjvg6IJWYUcsJ5qmvpuAkCJaeI/C8zcyZAXSkxbXqnuQz
8c30tf7DQhI1TdB2wRE4wF67qZeMyG7m1+Vlu6YYZwIWMpzNSUemH6uFwPUuS41QEM9qTzEu6N8I
4cKOM1sUHwTEY+Bf5ALctUzsFvdcWjsz1hPTvYH6MBRxQXqtih0Awz3ReQRKx1leZFjpXNL4SLJv
27jEkXBfmKSxHQZm/hNBoKp6SfPRJimN+dZOdaSAnDm9mlwE/krt8llbnFNNesv1TAeUND3mlJ86
MojJCSd0NUyWNL2TnqEeimFEYeBM+fQaBGJUbOSed+0ENRApNlJswbBpVYfT2OU/6lrRtZQzgws9
Y9XTT5U9yYwM2ZLE6crsgzunTT3WOYec+D1J5aYdJbW7ysjqIZBFWdmzyDmeyu5brL3fpJGNKirS
rcaoSs3ib2U1/5bltYsH3GqnK4k9X+IVyV3IQF6RvBqpxM1fWLAqyPhth2tegkDu8zGl94VPaVx3
PkZKLDxK4jlr/W0mPg2CjFo9yViOlV4MzP7HYm33Ss/T68ARrU2hUyBm7dxsYa9rzPpBBUntRQkX
WnYLxKS7xsjMh4AO1DPRSaSfeBiVcd/xjKDLdrm1fQRjCgvATqaHxJfYv6bRLIPLfi4IzxFN3X6Z
VD06cTJ0RkEOk+zIYRpmiRkmGc0Tt1aDOi8okHiJzWwa9nPrdVakQ77GmGQFwiEQPXezQyKU+dWt
ZeHuBlPYn/HV+Xclc/J7PJTTk6FK4UXESxqXDDqjdbCzr7bROkzpx+vC30Kmsi0AsmpFbHatn+1I
k5cPfV3DX1KkTZFHH+QLB7Bl6e7tJWeLoxCqck6XInnCxJ8/wMmZLzjUfyxck4DMxW8eAZkEN1mu
ZB6V/TLfUpJ1LykuNhYGrJh8JIZe3GhELc/Y48bRB3RgkwLfmAu9RZ5/WoSCJfK1Lxu+Oov2H7Cr
0S8JZiSwtNq5VJBfKnZOQhI1I7jIigTMRksppZPf66bVofKSxA+TwvGucUGSXN20TVAQk5kkxUF5
GSpQW6w171JbcHAhwpS/a80KWiY9qDr+3trhQEJuEk7eqnT0U9EFyyfhTQkJSWbnk0beGLf26EuK
QpTRoVz0zuHnNPI6ojyUpx3/FyMu6paIwUlqwb2e2asXD9nYfl116JpUjcIIIi8x18+ekajzgOjJ
Yadz7HqAe1glMcWUXn3Q5tXjXbEz5xUttJEdfDkEyw5rtA55PM10GzKZP+gnbPpFc5r762BhsQea
kHyzrXwupp1osZIDkNEHgq+qq3L1qn48B2WSOnVM7ERBzkXY6oyH/TiVFeZsZPsJN4JQ8VE0SbVE
SZYkaWzOOXVxEpAYfa6Tmr2Eq54Ep1j8PHIktpUscoM6+WLOK8mVnb9U5r7EWI08ZB1bDLZVpuxz
F8/oGC06qx0pmo2P29nWnQhRcEclmGgbUMMtMTv4eo3nWa76fFhsV9FdUZOXwT7Nmk8rhyEKddsf
qx3SbJvSvSrL+zRf+ic/X4BYTxpG9tDAmPhgaP1K4V+s6iv6KbodVuvV35PnvfGi8W1O/aIg2B1R
q4uhF96KkHi3Sye9qCojLWJdpBjAqHRdsqPyBg5UIi3C2uuEoWGkDYWFDkTMZr5zQCbdKw0DamwO
hj6dLr018EIZTfO4cpQNzpBqAY7JsJq+zrnXcbKEWks0KFyb/uDVsvNIsCzbLdwIgjA2TNFhUs2r
vooEpQHdMtPFMVHw88hI8yoLOANHd2IwPDXe1tWw3TUAGLzLqpPu3vO4hbAymj5FZmHBacEFKTtS
luuaqs52BFkqZP88MnTp8WdROl5R7iZGjGtCy8K1Z04cWrA350irh5XWNIKb05FkMhu+CT/QznZU
YiDHSTHMefx+5KzXY1yi+tKyc3LJNXzmczOcEvGJqa9b3XHdJ6VZMiULlFHt0gkHM9ZvT3Sx547p
l0Kbyn4vhIU9uh9HlmT0JPzPVGXVLe+Jeu1Mo3gBxp89YCCsSYyjIbNPdGJqnSUQfWxAvPyab4KQ
sDMT+1lZBvs2IBmPDhtLLFFiI5mu1AB2WUepTIqHRFM+UZosICxAtjKXiJbbqEd9Mkx3s22uZNrl
iXnjT9MYRGVbVM1+FnPN6rSazpmRFXN/KGZG4FHldMZN4WDUNgWsk9BZsMTGftsQbKEcLLJaYWBx
bT2spvzL6S0BTaBLpk8O5IKOzPqU/srUPbLT8qxt9kOyxpKE/wi6x78sOh8Tbrmq4kUvLCkPhVrR
/KYtNd5OB7d1JVXRLDauifqyFsyTxz3pdeyEiz71HzPNLD8RN2+de3Je85ORSM+XBuNIE/WDYV6J
xTavdaU7dIU65NjR0izD1ToPYokG4eh0VRvBGatLKHZCC8gPj0bU9WPjG/Irtnfrq83lgjAR/qK2
iPbxuio4d1jzFDxQdi52OAfp8EDF7X+TftB+87TcuFDMVrV9tRb+tjKk+lXejP45XNL2XmoZfnUQ
nlWP9Lho4on2Gg0HjrnM8EpLfCVuY+vCZMvMpk9O4iGnnH3NRcn3oK9bxpPR8FYgjKaairva5Rcc
dKmJl9kdvLPawK67GzTmSnyRjfeY9rIamXB1/as7w3k6SQmBfPJ7f7qaRUeiLQA8zNo1uIPPRqA1
NntHkFjRqmFl2fmTZd2DPMloFLRABti+De+jymDLhY47OO0n/qN+niIG8EKVmvLKbr2pjVxzAwDB
xG++paxMdpwOrQqutLEwspfaM5cziVh9jb11KXC+o/zW4l5w0IrnGRs+UvbeNOjBzbjvGtPWvpTK
4rBGt6s6a53KgNKRyOBDb7bWhzaDXx2jzLK/rrY+0Bcw7fnVbCR6jaIs3POpd0bGpIHIP80LvamQ
nrRzidxsJlMPBeXOQ8uc7UZ9c+FXU2tDyimbfMOng7zXEtURYg1V6d7uO3ln12VBniNfX3tADJlf
lMTZPcFLWB9nqxdXjZ4r66SoWp0wazVssLJKllFegOCh9UgjTafJMDpVgXM+WUU1nXWtRIcWi6RQ
ehlvEE8N2nLXBK3/oKWr30QoZdU3R+rlkwpw1+PkzTm1dprZrkRzd4MZ6uxMKpys0s9jW2V8bno5
OG6UNpN/WWLbBvVladp8ycgcelejSizqZbrZ3adxZN2yPAGygYWVbPOW9XjvzxbO8gJz4KMgmfDr
3GxvnFfaJT7ozfjO2F2rLjyR5OcFbXY6xiQ5Uqfwtyk4cbSMsCFj4W+8STv3Wp2Vz9uaDXZm42G3
TC7dlT0AiXQCWnPd2bVPn6zOQBnwLyvTx6zJLJAb7mLMJ11n4XKWaIgfOJnVLzXis3bfW752q9Vt
co1ZFayHrc/JQ1bbbBXmmAZBCEGmJQZbqwhlJ7JV1yLp1nkWGZOoCPVWsr6TYC5oUmE3oI5KLZKY
MXdbTwocFigWuYKpYcjRLwcLcujljJ4lD91+nDvUomOXxVUiy6el1Ts6mvC/qkhLFWeXbN0at0xL
6bXLGVm15ZTc2FhDBYQd4pppNDvmNgqZCcQc1iTwY5llzjNmuW4+WNIty8su790bi9YmBVphB9eN
U7tX7LP69VK6y/3qq7CTHMNDYjbbIUqCAuehLkZ++rpMKIZ6r8e+u+2dX2pX0zq2Or27D4Y0+wop
Wr9v7Aq8RpPj4GbZtqcvbM0+DAK5ejd9W7dGpOief65glmTMVczx89xyjgcHl9ttOHnFol+m3pzf
QvUZOQmPuahPayrDgwZhirjQBqjSaaaQuKetJ2tGanRYdw0p7DJESDy6UZWuq08+NUrVve+0Tsaa
rXngR0SuX8PnQJnazCuOpylY7dhJc6YPnj3zTckO6kKYE+/3MNBYDkIDipEVS/hFX93VsJ770W5k
ZAtdQ4c0TelTjmDJ4+npkuhzyPfd2VA1450xCI/FCATFc2AnRHu3LqJZYiB9BPg9Nq/uXOUFdTQ4
riDjSCMdCiuKwyGalbVwSPCDdeYnB2RC/3lGNxoR3OtWVKD9xmEQJd+fLpn9HDC+gGroLZuNZc34
uPD6Nta5UoA1zoKVLTwcytXGze4qpjCGN/F4UX8W53ZTZyPL/2pegN9JjENlOta5NnoYgIRV6C+V
T5pmvJr9VB26PF+b05If7V+K+v8N4H8YwCM9x+L32y7ahy3V5+0M/t9/6p8pPB0v9nreKQfDNeZd
WlT/mcK7tK3ACWAXwIe9xWH+k+pjmn+hrKe/hrMY+Ssa7f800Uz3L2ykJEwjhsH+SIv6T5pozndt
3H8G8Uz5dahmTOIhF6MSIJHq7eAXZ0TGWEsbY014ZoHQTE7LrjCa+kYzO1OEleZqp1QtgsMSRT/o
fHosZcjpDemW8qQZabNiNFTBgeQ/ejMJoqTGd8lusnWO6n7da2rXUA6fwinjGFqQ4WqE7tIPdkTN
tnz2O29IOFfQ7O/MURgRHKwRDqAz2qCyrFq/drTUOE/nfiwjldgJ805gqMMunVudDVVuRVEeeP2N
lZsmi/LAPJg84VVXUa00VNkd2tGHwEVUFAOjBshau4+rPlBn94QMnBRu534ZTNXeQNKoXxZnsIHs
MXvjH9Hl/AZFWrHNlnyPN/aMQToktRkJVu5r4xxOjsetdboz4QHv2j5a5syeOJhVwmBIOjkc1ayp
pyGmrfnLkrUMZkFkMbTLMtUzAJnZS8OsXoMXf2DiEpp11tDSqRTnwpGQ+OekXFJIoUJbTlJvAULq
p9UM6Zmg3semoeUSjn3gnfppU94xR+rvdeHmXQxN1LykJhQXLQskbqkOdBlIqt57FdngP5IMnCwn
QeqN105CS23XuUxNd0vhDef6PDeXKXXdp9Uz1iQeaxOoGahnHdJaMz97dstMvl57FY6g4T7MUohn
DljyNp8WnXo6ZxIaGUFGoRUWTglFJihJ89FcP/vCFWlFaFbufKyaYqaxkKyTH88jZIS9JFq52End
yl8Z7MivggYMzH0ahIO5W5lce7HC0QNIEYZCFpl5ufSR0sR4T7fY8QD9BM4c14B9PhnkO/eneREM
Z2XipU/eYhfnzJeSlw4YFNi6xOsllidvuHWbZn1pkN3C8Vw4K2K8ma7ydqmvCnx7ko6ITEx2O5KI
mf27woL/YSW0SxsKJ7zrvveaOZDlIjEUSQJlUFYaL5/vX+h6DaSuIJL8OikdoKaGy5CezPLnTX2c
hu48dhd6Y5XnqGRaUJ2VQ48L6Ont0tJIgYTaGuSLqKC5oXHLrIQsc5PvIh+cOxRYOaFxZTDti3U2
Uqpg0e/tNQ1uc0frTny3V8wp2wChKn53mknVGLFaQRfUMUdz0p8z4R8wDU63Wk5IUFSBe3ruERO4
OwFNEgtBNzMuY8ZmYcRoiiXZo9boLgkjmD8DseoJly74VYcO5eiuMtS87MEt0YfHMWzTdBLrSk/L
FiUYP6fWs1gVExEza5o7t3qSjs+rL00n0tvZgrkISY1ZV1oy7cQ+K4LdXOrDF8b/PXj8tFsv25GH
eKK76Cb2jj6BAUpA2k0HUn6zlY7VYl0oTzQ3wEMDGgekgH0ZsxUpC4pK+8XiEZHGLUVlgE0r6oiK
jAh3Zsm+EyE00CC6Wmat4k5sr1KH549mQDYXTkzBr6dR08jUjQKse0+aCPpnUGHVxTwVzSt4OXgJ
owuomY4Lxh1gqVrj7NLCc4cbqG/eHaawlVhZyn66ogM1rOdjRN7BIkPc5Ev+IRrQVhowpeU8FbmY
8hgjttbtFjcZ9hONTI79mW7KExcg6se8cIg819cB6BYlu/updir9g7T10tlhResuwbsSYd7Rmn5A
haWxlI9+/61LK44TdTWRJN5a7hQLNB35TnYTiLup1bLPELk6fc+MHwfJIlX5VeNW+sgkk1xGOAkW
L4ZHpb7pcBokSFFGufh1M/s2kT7qHycX4osak+BuggDkh3PfDbdJzQib1cykfclSxzuhm5YCJAXK
9JR7hXai9TkLHjUMgenA3goXPMpoPSjIQkwSKX3GCEYqmG0a/cVjC6mK5jSW+LPZzukW0J6AcQUa
7qMoXA29ZWmAZ0OpKu982k1VnC7O5O5IaOetFkrHvq8H6WKEJQfnDsqwVOtJ2tmrFSKao24iA4c6
JwVHyr8HJbmKUztTryk4uiffFdSBvbUhyRKD09zk+J220z3W6LB2Juas2ji0D/1A5DX0BeRCpKKv
AV45jS+b5Xiyz6gU9PpAK4t3uyrqq0CpqYOKbJlPBR0E8ktHT1uJr09yeajGoeH5DLL4klfSfbba
xDfpGI5oplIzsLU9FjKzPKNbYnwMyOawz9dVrMEJ74drxUYAWDHe0EZuRBucRo2uurw67f0O1lef
l8F6Q5Fsf0z1AotWCZZxPC11Z15PyoGgPSp0ELiYpt0yZr6wnV9hlBY7MXiAzQiIH0S8NrM84Yyv
JD6kUtq3KOXL8pDRvdVOsHF3NDRYCNRdqobkNmFxmkOLvt18bSJOMaLME/VzMhlLES+DQJJX1TIt
9nre94g/mNKcIDeDWKMvgQIuMSTk1k90O4iwbQyNJPmVDvZh4SB8O7ZWb4TTvLhkzMKEgRVa0abj
ZOyXODJnT3N3uS0mh8G6dLvYRJAkoTnlqt91wdw1oFGVCVzWNVaKCs2rHR5XMQ3hAt3T2CnUgWPo
WAP//5mb15/bfG21iMQPke2sgoYEr6a13HnMEcczn+ndeMipyu672uqSExwYdIGVLPR7xAnGVxtI
8YsA/DgfsJLRJqVNPiO4nre8joXu+evcKaYhKBS/EFUQpOG8qJkWiAKNHFnBIs9FLq2nrgKJiOsh
sJ9kruh+dIMRHGCllkQzlkVTnzCeS25R2rRTDPq1xz3tlFDwjFVSo1QlsO/S3KCapaJpQ8OrYgHc
HL0f+lkDXChaKzkTGmxXaLh0CylsAQMyDlv0j7qeLK9VpzGyp/XeUNbZW5sKpLj40NDgTkIxY+EL
DbPPyr2waveOnYzDHNhE70OW0JWIpJ9wokLO2s5QUXRxr2ijuJx3XAO7fl8VROqWQwAagF6Aik2M
7fDWEL7v3Lq33B28ee+6ypLp0W7G9M4ml66+kJryviRWSeesN+mY0BR1NC3kODgMuwwkoMarM4/6
jnmK/7GYUp3lQFt5dZB6iKepKHgiTYGxHaMku/chHXVp7Lwyt+BM5p6pYqtUGUhvjQWDOACXBSYH
OsoZzkvnaPDRzkWdKQUt9sCgwVZ2a+1H7ZRYceHO5R0tvGE8tGNV0HJqKP5jWtsMcagLBYcBZtF0
lWeT5b4a+5RIHjYKFxRuVn80ZNCQPIzALMeFUi/GO+r/Y1k+Um62RgtZN8Jf/tcj4XiHLM9NsfvF
RZ5JYjWp+aFc0urTjPm/uBSaedwNWFEhAW0S1R/8d06VTZziA1LuVmu4Rv9YR2LyjSe7tKb9D3KH
d1W1FD0GJgNKH1byzRxnHxU9+irzpWUUF7fzKg5BX33rLPc9/+L2l7yprLjI5unSUUujCXCP7qe3
DOTFYOnj1vaWjyMnoXjV7OzC15r+ktlfdQklnpnpn9/aj1c9ujXQu0K3sySPLWNaT6B0DgfRT+bf
Gvz/bw8FTn7XceiXYXdBAXJsJEumrKkDRqmxPoNrMfyqPxhiKt55TD+ZXv++DNIO6mCgMAYSlB9f
iYbAIj0HgxwXbXsyBPA1p3TVdlj/tjZer19JG+p1Jr12l6hE7aVuBDcowf4w34Q3Zbvd//w7jr4C
m2bVgF6Q7OkOua5yvO5AUhirtQfvnb1zJ1wLJUAN0NiBrLn7w0fK1V2oKJgf8YL9ZI1xVwsuPeyv
eAyCfDdYlR+bqhfv/Ng/felHVzmy23YiR+XugR/303Q8c6S77PR0nPaQ4K349zd0HBG//Z5IvV0i
zTDdY7Y9MvuIxEuyfLHzuEa/AP1OsROwkXaleZYLSz4DH1uNU+bE+nNiTvB5SBAAhSpq41DOhn3Z
Fgn9MbLmNNhdRXlirKaGPo2GXytKSiKNI7oTs10EH9KRLeqdlWp73G+/bNwZ7P2cUX2MgMc2lwKU
PvoMViqTsVjo+LnYaXlunP7+V/rlVbbgN2fjBbjHsKleWHOG4GNbP0w+L9+q9/AInHfWi58eO6v6
tjgh5MLkhSjr7SdGHmeyWNIvYsziImQ4BR55NooTlejqD8lS3/cSvgtIeZ5OMU7H68evmaKKBTnP
y1j2Q/p5Lcf63nFSuZeFo4DeC+0M7u579/fWaPL3Ug/VASoMqjNacEcXddSSl5JeQ0weQ/6BHAiK
GtDJUW235jmzzoQ+DvkVJ3Y2JC9/+gARpsEX0jdEEwlWR94NtfatpimcvJjlEf+jnrkoB0rg/+Iq
ODfIat5MO8bxDQJeNcCnk94Cc3lv8QHsja2Y/P1Vfl6K2c3wE2HnJRsP/sfRUiw8dDtUrUWc0JUX
8YbeoY9OETYgXDVtmMcity6WDN0TIja94UuUMB5JGChNZg5t+4chpd/3cG7bonfJqvgTxmtKG1vK
1eYftEr7gBtkvWmcvIrRdBFGFowI5H7/E/xiP4cFjP1pUz3awTF7KBtsW5u8uSCvhXHbwIB5Is5O
+CcsdtTnRetfTB7j73dW/58/UKZStI+ZoHKSMI7hpIMGqciQUxGndJn2TlOsp0k+ItymX2u677xM
33fUt0sbfwoZobmtBYhsj3aBoNEXLyCEKRZIkK6oInDXVL12Jx3di6eySlJabsZEOStMdQlvM7ji
zRcI56lhDwMQzD29quTw/af/38Thh4mD6cA9++GN/Mnyx7zh7bThX3/in1mD+xf+XJPzpgMQiA+D
R/fPrMH/ayNabKug7rqbbvbfswYmDfhBWXdtG7cajk2+63/0ulgIUYUafF98Zfwh508mDUe7GR7E
73Ckbc7AVoaw+O3iP4ETx5DR9JSTGsXnQMwI6/Xwzseynal/eH3/vgoTE481L8CieHT6FQk2EDbK
PgQUHuySUaMRSa39nGI4j+lyaO/wZn++K4f5ia77OtwGsABHi29lIGoLlN+FYxewcfqzAuQ1GeEP
z/n9coW74vt38LVtOTE8pqO7MkY/LzqdiT6SMfMBdld9ippifefb//m34yoBhwCcmZgBj7erDvJj
NngIdFRpZ16UBYqkjbJzHOLqg4UYGkPO2f3v7+xocdvuDGc+rkOdLEuA/0e7CrWrbGvi0CB/NeaZ
rkkiu/qywGHuv7e0/eJS9MNxevJpbCzDIz+22da6qMeSS6HwCJmKrnuaXC19vrp6xwb9i1/StQO+
KCztGz/k6K1wWrehyKtpT+V9cUoJ6J64TjFcQAoOrudOeO/sTL94C99c7+hXpFu2Cnfiel1jrO1J
bSSttismN3/nOr/6CVEk0CU0uT3mlm+/4aT2V2xCDk3fSmZTVGDoW+IhH9dnIl7kOxf71Y/IyZdx
hG/pnKKOLhYgJ0YctiASWMwyHqfOvMpcOFWO7S+xq3w7+uNXcXMs4IzmOyNtefuRf2g/TPaYkHdl
SkydmM0I6DJ3+YCoKQVl8uffswtlnKDM7zMp86dL5ZqCYM+laA9DNkqcfc6ROP79DW0/0Nu1kLv4
4Srb0/zxhlav7XqDG3JWcZ1lXnrwmUt92jojF5tC+lPnj4+/v+SvXpAfL7k90x8uaWiOU2oKmc6C
iD8ezMq96vHthgGBI/e/v9T2G/10d1jRfWAGWwLu0efcB23WrVqGUowQ9w90NAvGJ+Q2/xdX4WXn
Y3bRZRzjqRMnsWUWeBIrNNmMFv3vfT4J9/D7q/zqVXd9FAcM47877N/+bATA5l0uv3umQfIyoavK
s8qtk29122f3AevV8M7H9csHtXm+URJsGNSjj6vQiO3NXbAUA3TPQzWNT9BsX4nx9Ha/v7VfPSZg
rpR7vOt0io/eCAAmROs6LBlZonk4MHs/tivGI7+/ynF1wj4CDHqj+W6dEtyERw2FTMPFVzkNAnar
s+AFWjgaEcLvcJykiIeY17auc0hIYoWJOBBQiDYQfBqdsndWkZ/vF6oN/Q0O0PC92N7ePkpEZPo0
TewyRjNU7k3Tk+R4mllj/R6x8Pik/v2WLQ58WxNia8Vt/5IfvjXVp35mKNGFmIlK8kDNaS9la92L
qbtMXU2ddTBtdzD3DGhPBD8CHkRv6EUDJr3TcdHkO0ehn5cbCDEGX2Sgcwh1rKN/z7xwPtImJcNW
RzgYzmlQkwk04DSNaYmZLdCRyb3tR1yz7zz9X14Z9QqnV4ZjHCje/hLL1AZrKll15syY4jGtkMTL
RIPCScc+eBLF/F6o+c9PmXv94YpHVdLC7JKEPPYmZWE/60RRRqjfmj9+l7gKD5gfjvYflefb+/KR
71qcKCWkCQYpGr61aLKH9/ioPy8+XMWFdgu8hZLPOVoKGugCZe+BMC/TwL1F6Cx31gZUxz1dvA55
t+5//63+6mnxyv7dfNfZbN/eFeksKxoHtiW3mG1y8aSvnZsJw3UfqdClOS3BECsS496D4b93Xf/t
dZHjKyb/NkqlumECPwtxSvjZekmqZHeOAADVelkY7yx/v/pxt9OmTtfL8Uhpf3tR1fq1hPvMj5sb
ziNGejXuzGAqDnMTkE+XETfw8Puf9+eVHTc1OQPQ+DhZIy57e8URYUbj9Azmp6RvYlfKLiZoYAq1
Rv35sZOjNCcYEIPbkOMYpI1Lbi1nl4nQgnRnp5fruFeD895h+hffmrNFJ1CCMgJgG3p7Q4Al3V65
rB94RxIjsnKvdAkX6tblz5/VmwsdLd3NgjXDNhe8716L/LbEaVcW3o0uS4f4mfdCDLbX7e35Zaur
Pfo6TK23KvvtbfEd51WWrTjFJr0/y3ytZvZb62eidvxd67m4b2ZNY5qLnOw91tYvPgX617ZJyKVL
QW4dfQpeqXCzDuz+qzYEd5V0zGt63WPUmo7EIubC6WgZyL7z+/7izQxooLFDcAzgvTmqiqhJ3MEy
Zs6jBlPf1goIwjOKLMx18rd//xH86ga/18roGeAkH08t/bZfejttschkYjp3Rzn+H3tnkiQ3smXZ
raTUHF/QNyJVE1hv5p15S/cJxEk6oQAUgKJv9lSrqI3Vgf3IzE8PZjCjxjUJCQobc0Oj+vS9e889
5ATQHxNARPs28gjXlBUT/L/+1F/cUvjP9B0oRAgu+zwUq0Vlzm3Lp1od4m6AzAmitqRsjk5pdTfj
Er9W+EFDGHSf/Oaj//SSLJsudZyJQ4wt4/OrSE5aoaqKFSUm/C000ZNtTYTD13/9Bf90B/mUBfu6
nMkotz6vLXWEB2OYeWbnpGUg3+A6xVzVyL2lvOI3nNRffSNWF8pP36OX8znZILMT+GSqJbA9KHA5
VZ02v/UkTP4ujOmX32nJQgJnTYLZ5yuXzPRtB7wTPJUIRBo12SdddvmhGrvmNzvfrz7K4/nXAZgu
G+2n165d7M24i/ioKsaX3U/aWs0TikN92v/1jfrVxaMW4hUwHOqGz3tslfsYV00Fe87WE1C21Lpi
ENXmb3/Kss3wenHxdIhvPy9hTeyJoFqclNJB36S7cJGgOv6OJvqLq0ZBvfTz+AyQlJ+WDeAyykwb
tMVEDlJcslBtytFPz1EVz69//YV++VHLcsE05TIQ+/kLeWZeCS3Ollx3+ththmwD7UG6oiXym1HY
L26QRT/0Pz7pU11QlFMV4XxSYeD2z1ACrU1hRuo3z9vyj/y0xVx058yNabAtIYafrpzRYm4pwXni
+C/1qyodq4fcGspDEDs2EpVhHHd/ff0us6Y/fSK8CHTwgB4YTPx8AedKphI4dBnaccAFxBC/HgvG
r1GAFjAUTiT2xdjHmylxgh0xhuYPbdKOjVOorbCG7P6vf5xfXWRu5BKgR3/W/PzTxAVKRzTOKAaD
fl5rSiPA1i8+/v6HIOM3Iflw+nQ+X2R3MR42ykH6ntQmDsMhddt1Q5Lr30Ti05SlVkAIwSLPHI44
yp+vbWRnBOKATVqkSFAGhOWG+qBtCRvaFy34sL//tRjQ8/AQJQKV89Na1Y0NWQ19qRD6O9Ep66fq
oFhF1/8Pn+LRXaEGoo783Nj2JEAAtO0qTJu8vio7kW9Gx0p+0479xXPAZeMQxYrIjfp85TLoHlmQ
4OWaBk/cyAH9mJHgMvrb34VPoVfJrsVh6nNLxYfI1GrLs48uDLPqNJprFRX+b9bcP3c6ILfpQBOZ
z0FE4Xz482MAfgLjau5hSuii5EqbfItxrzyWgxOELqJ1f3DuFel6mwoo3Yl+99ENEM/89Xf9U33F
D0H4g8WYgG4LF/bnH2JGjIuDjAjs2e1NY9OOoinuoKLo/ZXTDQMRbkMgk0MNAO93bdpfLGqcBpYZ
NBhTyqxP3x9klKN30KBIREitbCV0ssYHlVxZdmyvsELz37/+rr96ekikogdtgbLmo3/+rp3pjTl4
ANa0BZ4yNBYAknz+3Zvw563H4JbSIeMJWpg7n64oPed4rD1uqyuSGBm+Vx6mYvYOmMR+F2zw5yvI
R/kwcEmhZLRsLz/KvzSOWCtdvQa0GZaZg5t7KmXloyMXxlMAqOa7AJMW/eY9X376n/eFJfiO4y/4
WUaUnzNYRFY5eIQsIpaKXFvbQeU8V90wf606T64NozC/0gYZT0pY5T6vzeY3iU9/flwB/lIYIKNB
4swE8udvDDtPx83TQcggomgtXe87caJvTkGDCvlkHnb276rKPz80yydyaGWaRpf187m/GZI0MQ1Y
iQW4AaycXbfnVfmdwvAXD42jM89dijDaN58RpqT4AUL0wBhpWFC3DhnZLeYEQzzCJrfS37wH/uX8
8q93keYazHhatqzVUGL1T5fR6Il9ayzCvO3cltq+Y7n+0IShLe7ktHkYYWjgeArMKdhMoz+pK3PC
nr2jvK9wqTj4vhBABjWUGd6fPBRaal4x+9N6PI4eVhiSk8v+EFizzHZDxLzzOMA3S7Y++uJyPxSN
IvY7zSLryEM9xcdoGBp5IK/SKNdea8RiH3eZcPbLMKnbNVXQFXfClg0ooyzKPASzqYDgYIjaX49V
ZLwqNp9sVUsSq1bNAMIUTcUScJ+5hdXeO2UGMNLzG4BSDbZ3ufbLGBEGE6F0jE7+EBEo7+fZOO0Q
c6JIZAfIvudFRPixOaBw2+tGYsxHLGM4re2qB9hRcTcj0Eiug3akydrDMDaLXzs1E/xs/gg7wW3i
3gZNIzkeTPS1k43hl3W9cYs+rfeyMbJxB9cljgFIA0dAWAzRIRy6jhoA5LVeHDVXkl1hDpoArJu0
o7sOBgu3Sxm72Ue0pKSPcw7nslNUcmtb5AZGOJyjwxLqO+Q7xmMmt3DhlIbjUCYulKHA7leaoJGx
7WkMIk3ugyQ+dt7oOdSwg9Wt9GGOhi13IO9JSZg1ZOBxHftbEtlzyJrD7LqbBZmC3sq1IFGbvPvl
pgPw62N5y+up0MPZt8DrzAWXM5wNAWbfzuOle+ZMTX+INVRAKxy4cbOSBMt6YbS4g4HH10UaSnK3
MWoDEej3lXSrRyxTXbqxwKkS1FIawxCaIm77NQfo5NANozZdkTLP1WmKDpZeXeCzCQPwqy9JpffX
+WC3GFRSOU/bpIQ9GSYSvESLAw3MSpl0+To1rajhZKXbxxR4zw+vmuonDHr9DzEDwEFoNpO8BlfC
Q2+WBd4GipdRbVpYDN+sOkEZRltWvrnOxMm9LMzgZs6M8iaTvrB2U21hFxJ2m8sVcAHczpJtn4Oc
4xfH2STYYzVHnnjtqBXidd8N3tfJT+WXoQ0cYDCRc5cj/sVZ6HIP8Sq2I0cAbJhhhZv+zqbDWq59
I6pr6JZV+pyVgTdhB1DBm6wAEq6KJIcM47Wue4uKM0H877bpGXT01O2cSVhwByXox60KcGfhFutr
N3QiF4d7n7dJs4KuKN5HFYsfDohXA1qEPV5FPXYtXEwjSv6a4PsMtNiQZ1vHqMazxsMBbat1R32F
b7DYdZB+xUNvqHgMvbRBfwtlxWtCZrXWjyTIaVlhLgEmopVVJwDHAMZlotU199KfdN5mbCFnF4nh
S2IBRgg7ZG14Ew0jV5sqrky1dhDqZ2vkxLG55k2Rt/Cv9PrKAk99V7T4EDaJrgES0lLNuB6tQv/I
ZhAwYTXXdf3FZXo9vlOJO/lJRGkbb8ecnIujlueVutKcLACckuHXuTLS0okwZxH/dBXrrfoy28Yk
nuMiqKJvfUuyxYNZFTk+vkzzvXMFIMPc25HKCFTRi8E9tolW90C68hpdq+5G86noTZwHFcy77liX
i+kRHRpeMCBSfD8AVG5sHNh0QOLW+hy726zyRLSrtDyCvRAN+jobWhGtdatu8q0ng65ZNSAZmBTh
sA++dmBG8FGxP2rxPjK8KjkjpDfto5ZSrW+DyIbXNY5dMR8CUKDqTnhMfL4sD4L1kdg9yl7uS22m
cYi7Tx/PGQVi8QLdKUsfigmuwpEdwKbPb4+RzJ6jGPpTse8CmG19WKVsbuQZOHU8GvuxxFYMbBWG
cf0j6vC/3s+OLa1TMuJQEeFwYTNXeFmyu8n3ST0q/T4bbsFAWNF2MDFm4HiERw1pwuJLlaYtC3jW
cT2a101Uq+JEujI0nDIGMnUehIvDiW/LQkyxYgZhZZYqgJMhIE+PaVu+YLocze1kZdP8nHUY4Y5/
QGvo7dFsFHHWXeNC6MyHkdOHCWEIcbN/VV9A2Ogl/WFV20Fe385+w+C3z3Jc0uoC0QZYk1arjiPT
Y2x5463uDeoBnDDobWWREhSWeeN+cy+E7iFyaKMSGY7rZkJI8DpbM7aq2JW8qheoJoU8gCneQGCb
RGAA3tQuEM7cMbS7lNa+BrtgwXROiQnNbkngexEXkGe7HP02WSTjG7mQPgUtRj10F/5n7kl0s9hl
64/xAgg1QFLQob+AQ0c7ijPOIhXiK4w1oH0umNH5ghztJ87LK8tbUKTs1Z0D0BdC6XSBlRYLt7S8
IEzVBWfaLWRTpycyibDrBXjqXeCn4OgAoU4LE9W+4FEHjJnf04WZGmMhhexwQamWF6yqM5T5s7jA
VpuFu4qJeUGwyrR8KC9gVsIggLTKhddqeNOIrrwrJV67Zm6w6iRGBN71gnolgTf7QHgCADa9wGAx
Ai9g2Ask1pGqwdW4sGODqICVZGpJNwL5WhizOgXhE4ddeBzllJsPCJBh0uLfSQTNiTiTG7uDXOtj
UgL4he+5QU4L2xYaDEl7LCrzyZ0n9WpfMLhZPsUgcRc67uwb2nN9QeZiEzAH2NyQdPEfWuClqvH7
sMB2aYGAMrQK6xU6JTjeAcT3D6sdujuaGvJr218IvrGjcOrOxKZP1oL5vRB/ocQmr/aCAa6HMjui
8YQN3Nt+8z2Yx/Ibwx/YwfaFI0zZA1M4vfCFLc2vTuaFOqwvAOLkwiKWFy4xzgVN22RJCa+4v7CL
mYXAMRa+jxPLvPCNiwV1nAylY+MGBoDcXFjIRWrFmOm7oLBXmjVQtfhdhQvDpPL1MCd6yY1zoSvb
QWKKlbhQl6HBZe5VPuPJhQOSBvA/IdMEIdC4Kd8wEJT926BPEgZZMjkR4dGTOxh3giHGwsWefL1c
pU2qbhcaNibDKSv7VRtFpgkiEinX2p49oBxuACosBBFN9eMWnfkOYSg/xRYu6rXnAarGzQq3bweF
zxKhOSfpW+V447C26J87YcE4aItAX2GZzvMMymfs51u85/wviQOYhYvE7d+s1Iifa/BD0d6OowFm
sB4NJ9mNw4ub+gGmY0Oq20zist9Cc0AcwGrqtlurbHTOeMGcBeQONuCvRO86GTQTAxc4Xh7d2cxd
ru6dtNPDdHaFf8a2DmVycLW0DfPRAxFp5o5712lcmAPMA0X3OrYCgPlG6r2OMVzAEM6Ko24g3Zn7
Mk5z51Bacoz46xpEBOl1BpQhTlx9yNrCvtDMiS23bHvaLSy4qFt7YmiORsIhHgAZtAXNJ0sntMyx
5D3B4P4q4sozsNuBpt/wkoLW6QL23bXrJRRBUVF4pwDbB8wlGosLJ0IAEccGUr+3dp8O2z6oyTgQ
jZiZAAVF9jE5Vd+HFIrx2Rp1793WDJygCEyjYe0yGP8yt7EN9apw9HabiiSxOAVk7Y1FctuXwRQB
Bccc6w8Q6LHP+9DvZKi3Xe+sqoUNgO+8rqIQgpTzLEbhkeZqpc5V7RfZuYgQEK6E1cf3sxdT/Sqt
Gk9jH/ED9TJOM9QTrXjpZxWYa7e043GFhihAQSvG5G6qTPNtTEbkAePY9g+tbsUs3xAgk1UR9TqI
oRkzdG3q0xuxWFh4M6+3AHMFGqSxwHfxwEfdsqaO1kAjxewD/Wr03Uok31ID0tGqpzjF+Dj5CSc2
u2F3nLvIURtQhfH3ApwihCjhmwovJ5Lvre0WRK9nvRzkmiuZ33M4rr5l8Jho3ZckJW4n5TbNPvAk
xmzXL9J6pboU3xQ1qJy201QwpnCbybyf9T7m+DCNnb/10rI58LXaH9K0qhdjJoAaDj4wtLn1Shzf
+vzVbzyopcj2bKyYwnObtUpVjDm5MngbTdQNbOOjHW+apA7OBsC4R7OdQU1RaST2Gumk81hPPjVI
mxr1OhNzdNanJmEVjsp8H7TAPK4N8ML1qlO9dqMyTrGhkxjJYZKBH++zyeXcmU6KYhL0lu6uLD8z
jhEGcZios708Gn7r3g1i9J58BXNxZbaq+Oj1dHjoyjZ4UV0hBOOapj+lGNJlOBW292AmavzhZosD
Pmsj99xTu19PwxjQiDJ5XTtTG8VK5yz0BL8JhVrGMOA8pgKnfgIU42MWzXzfFz3q3diOphf0tq21
CsysfyCFcHgzc3I81r6e9Ad/jmq44t40+cAXMrOBppjm5Q7kP9vWrPBxwF7Nmin0iwgEsAnu4zGd
Yarv41SjL90qZKiwMQMcXWaSQPRQgPW/RNNY3cc2wHb02D0c4AlxLmGfsxlFK9+tCyzu4NfkyqKX
X6+IcHBins903MpaBG9mUCTAKsVktftRJMHV4g4WXyWmfXc722ppEviyuEeojNIow8pehXTrCn9f
t3o9bPyK/vMGiU3gdAz0mXwE08pn0t/PHZbnvoDPsZozyvFDhS3tO+VwOlxrc9fV+xGyW03wi+tU
D9TTgc6gs03dLUpR24RyC0gjnCUp6PCutOmlG7qM7kCAjgYsqKD1OV6gmcYFoMlxXMm1vXA1QcaC
2ORhA7cpL+hNWCYctuQFyalnC55zvqA6swu2k7Y/CM/igvNs3LJwT4DSgH2ijHW6K/MCAe3KCCe+
t7BB9Qsm1Cm16qW7wEOznHwZZuEwRam0s8dpiGFJJBfoaOHV1IfENOXP7gVLWqXNBLH3givVo4wy
ebpgTG3Uj28DGAA+RSyg025hnsJImOXauaBQjQsWNbggUsnzAZdaXdCpXer11QoKc/Q9v8BV5T9B
q1iqD/MFv4rPBxSr8U8sq9GnzoojuAVLdSG3NibIk1WZMC1gg2E/h+76B+xVNMZs+dWqUO6FDKuV
85A1T9kFIXtpA/9/C8pPFhTEZv/SHf+VBeX9//zvr+//mjsF4n35S3+4UCz7HwypmIJYuC8WqhU9
yz9cKJb/Dw+pi7v07ulDET7yHy4UDe+KyXmKKSVyVEQpyxj+320o/j8sHanKoqdn4rAYYf+ODwWz
4c/NaCQemMuZIOBARMJufxaHZBHPXCEriQRE1M/KkOlbbXTxo90N4HbJvNHag0EB8Fwq3f0ey3h6
zM2UUAqYG+0pVmP5w1NFfJxVK5qtnnrGxP5osPnpXgPXF+gMrJNJob8mZyKAptCPpk+3pMvufG3s
7LWA1UFHQ9XJ17EoaUEOHThV2LA1+Ig2MvJ5rU9R9YpQLX5tOMtx9PSkyfJFxw8qqxV1UOnKElAA
XAMJx9OE31h0S0BRBVFRsv9pNO/8suHN0VNBF7IfveIpU07X04nxiU4arNl58tFwwP6G9KGHVt/p
99Y8QWGR0N2vEl5tcTMxiszW3piYbzqverVn9EutImxN3k0yGeotlJ3C3czmaO6rChDBSkOphfSg
qLuCcVRbPZCc4zOABanxLfDz4IUisXrQImXBVM3xgcK4MJqb1vZr+4E5jD3vqlzPaEoOfkRQtMaM
K9ayzD24S+6lqZfDa25WCpRsUbnX5AUm75zSURZZMCj6tY1eWhxVU8KCIX8H8pUHaDx067YZ1kGf
ddHO8vJMY1zkjzQrrYLrlgYqv9HbwqNbGkeUMMWsb/ATQYhppGu/Jk4nNC53kNNspbEzr5A2a2Lt
GniLVngQRw3Na7JEp9iF8VjaKEtCjwNLgXvZqs+dlft6KOcRyH88xJ3/rOgm53yYWf5QRV2JfVpr
BMRgwXO/MH1ru4MZD/lrJtvOQoCWBAcQiWO86ucpenE1Bbax12AMbCzG3FT6MGO9nadxLMbCbaY8
djICNh4VDjV+SQ1ocFQdoxdo+WA4+rSJrRWnVu3Ja5vkTBPEhmZdJ5p/GzcjUQB143BUb9q88UBu
L2XxlGn2rgsidSqmMdE2NWFIXKS5GTWKbC+7RwNczSsjnlztNJU+zUZlJFBWWuJW6kNlWCVzyZq8
BADi9nDy7AKQV6dG7yvgxFnsbGv2rLWrevKt7JjYs5UuofSHUK3zF0OWw8sYO9Yd6nWRh9BngT/2
TdNec+qMvnh+Mf1QQgucFaFaubcJCHBwVmjMqMdSsxhS9qC2eeIm5dBX1ABWf64moEAMKKTagn+J
3zQJTBVE8ZA9yRkLVDh7mXygEOqrtWNGwQc9aNPc9nXT30Vt1PLrGNNpkHSNs3UpCUA8a4Z5B1xN
tFuF3P/OypPxC2jh1uGwojOFCtCoW7jbGQyg0kR6uhFtDGjFIYC+4PHx4nYNtGU6avBzAChBGC/D
lrYFgTSgnNvQTzzjbkhG71tTiPGblddRu47dVvtWESb8ksO51Ue6XUh6E9glGgXovdnUw9mgE4hS
wUwNZ5eB11ErukCYOTGCztaqDjjtr+fadMqNKQcBt7QIpnZdW+N0HoPe+9FYOsc2IQrva9FnVQmi
M1NwCTiMJqEE1WesMKv5WKydNk74QnluhW2vt6dpyOuKZzGyzDAdnFptTJeiOqCyrtYF9+INzm02
rfK0KI9VyslondBvt1dTCsFubcBKOdIpoqMy0vK5q6FnOhvLkf1TbI8BqyuzIE4fI6TUkAQtP9vT
A7jWo0S+yjkwbsApQ91lyeE4L0tu4SqjGU/uF+CmO+iEfcNtoXoI9ZI3ohgmGsJyIfSEk6hSeWqw
eJ9dzbZ+2JDF6RJoxAQBH8jdc5xEnVyX+tgOKN2t7MOkSfBdc2PGxaUkGYo1wgQn7oyp++xNceJt
OborsZ6CfmSC3aeWvWM3nbFGWExJ4duZ9qEZ9ZFEoT5XbVgT11MdNa+KTpZsECTZaYbNgd5FOpLE
UChcjqIHnD0SL/FltKtTNNquc93FXqBDJSetnT57BQUo9kubLArkelOISGB6HJTpVQc7NrqbWjBz
4hE1rJe+yuk7WUh8iqPQPSDAtNmcrYwz5wk+g1EfYr0jliiwonGvVTEcfE7C5ge8Ju2GfYWswEqb
4m4vKjXsHUBv2S5rIoKimCYZMiTcK39wGt37qCctgjfZDNFTgF1IrJIu8dWWS9/VmxaIT7MFDFPt
eXz8etsDfHTCdNLpydX0Y24mAUZ408uUUVHAbT0Pc0sXYxzHnH5DNTy2LKHP5mxVvDtQ115rN06O
VTe2HEFHX9BMn/ryKegVssmF/oh8I6s5NbbKNa5jkhvEptG75N2z5+hJMZND81B3yTcLWTfN8VTY
D1Fmc92Spu/fzXjSvlfegBzo71eft+qjeGjrj4/2+l39z6Vw/VYqFuRYtJcgzv/81W3/URPc8vFv
/MHm37Zd8f29Tcri89/56Z8gvPOPWnip+n76BQh9BkXnjptx/9F08p8fF3+Uy5/87/7mH2Xm46Q+
/tf/eP8OvmiNp+1zdBH2u4BZ+n8dXXRf1mRR/VSA/vF3/j22CK8zoBbE1RjZyaH9F+SqS/CpSe0Z
MKb4ozT9g7jq/GNxTEM/BeeBFpsS9D/LT+MfTIWWfxEHxlK+Upr+jdxTA9/+T/Wng8oJWoGBGgIf
qr9Mtn9WIxAhoho3r8tVRpYfqC3IMk9tVkHbw/FYr6k80bs2xHy/p9STPzjtQn0c+w+3GrduSYJd
i5w4rLsYL2Q/+xwhq4g1NDEj6lAIOKesptnXKdVB2R/N+tpk87ZW6WiQIUdExrmhQ3+mDu01Ys8E
azMTsnMnAGSD8UvIXp7sDyQalKjE7SQHo+g88tC0l8ATyWnghQJ9lxvASZumfJexSFPsz666jugF
vJJKk90kLBwPruED+2P0EvE2xTrwKKfQVthqJm/FODZjPAQq/mjpYjqO+Vi9sn9k16aw0ts69uJb
o12qUkZmoF7zMReSTIcmuc4jMzvlXQ6IoTO74KBIrXtJOJZfaW3EuAyCfU8U5BB9iwerfKxmyVLJ
nAp8mVkjeQx4nw4TudKIL42ZBNA2+AE/cQyz0rUPMiauxoyTgtyVKJlvsUI3W4timkVrynQNS68z
PWtz6/L7fbLzG4JRZNDqqxg44SZx/BylAqFHqGsknV59Zu9uejtYxd4iQUg7uSs0lb3lriBHiB7S
Hrriq1cYzbWXFwqdujKvAGABs7aVax06IDevnPOrdV/qwQ51BcbbrCc1wR+nb4PviGdXH+Ty772Q
afCRp25062VCo9WnZdqDr+nNt14wnYkSxQQxiIdDoJkMklPyH42w7Jz4pIpsuJ87SfREkNj80NGW
QZIMHal1O+b31nE5mm8oU+2N7lMdhqzp9rqvC/8FPny3zkvHO3pxKh6tpHWPRdzM20aXIEIguviv
MwfDlY7L56o2WmfXFiKA9aID0pu74B7qvbsqbFsyyA3iAnwPWwiDYJkNO1jZyd4Qc7JjlH5banly
diJk5yy5yRNRnO2uL4L8qwE3fcvm756lJnC7pGMpVzkBct8aZRXn3iXYVQa13FalH1/FpDCEfUw8
XqFInGGI94WDYkrtEvhDCIto4HTEAXFO6LYW9pBdL84h0HPK3ZeGcF6VWfZfE8SuK2Ms7FsiFakI
+qoNuGK8vEXdZ3dkSqLTbHGCn+ig1WBKWrHL27F+toRq7h1Oe/WqHSmpYfFr0zXt2jImQ69pf6Ta
oEraoG5jmWeiYiJT3SP+7+8GbYAC4Oew99H6BFdxQ+DXIC6Iys7i5VSzeBnKHhJm29pPsp7i2yJz
y7VNq/5V1xv7CTFRctJV3B50LfBv4sYhkqko6ZrRgpY7PTMhXZYjAjcorjLsKSs2et0ubV+z/qJn
ndrQSxUvjW36N+SEaae41oePUWnFueg9tRsayHXKsMaTjnZ7XcU6chEQos6+pD+7CeTkv3cw6W8Y
V3VbgJnVWQyD99hXDZNZPZnEuSmV2nhm8F23R0wTJdzNx0YpcWZiSCxL1RbHJisvsL1p+Cih/L3Y
fVcc674db7SxkO8lONuwYZ+HLdU0664e9Ge7KcfHuVjqtqhNpicVlbssidJvU2mDTczsyThDJRzu
qsaKrm0j6pk+0SsAfxDr8Zpugnyo3KWUikZnAO8/pw+it41dXwX6a6Fm906vdO9FAoy457nSnphN
j2u7Nlu4iH687bJePApAHS915xVnSZfV2xSNURy8mrFuhDptRd5w2zGcGp0t52APdLPWEIZNK6Gw
lzopeZmUg6GkKfeFYy55NoF7aDKJxGGcs410XbQgINP6MLKQC8GfjEH+M0+7EUg2b1uEEW8cscEx
B8WhQTS+67q0B2dTIzZsWMMQyRVjUR96Nd9ByJvoZNsMlxuvjg6E3NRPplYrKn5tOhGkIMZQRm27
XoSvFjFURNDMaf7ol63x3CYRXfmU1sQVUxy5csDdXSt7NgiHqvutLTJK2IJeXw3Hkq2sDjacRWDT
YgXYWmSNnmzlE9VqZ8MXWQ3GvnRnfcuUd75K2qC96eHMUHblyRYaNyElhGitAkIQzlB1zR33r+LU
56mb1JLFzWALBgJ1Eh0lJ/N9mSC/CClR0w0qUsKJh7m6kmn9wJ9leVXlyfUlTh6q735TLbck82J9
Z4nU/G6xIx9nr9Pe4iQJfjTV0ng3vdI5zTRFVkne+leWIIBCyICksVLe9oMrf9DET1aqqsvHcor0
lzlifY369HaKm4Nj5Hka5tQtd8oos3emS8YaIaO+aYzSO8jB7PZBXwZ7o+3HlYsW8IT3vV0R82CH
pjHH38lsde6I0lTXRuvKjapMyOLkfexmz77K9AYZkt2LlbKb94gzyMr3JP0qrUBtFMwMVTWt3See
ZsJyVcaplkRzeD5pb5GWpIde75s1WUM5T8UUfyW4JLvxpwEPC5XuIWidekvXvNoyrbe/ZFyf76q3
02u/N+JHhXbvhlIgOjBPQuIDf5kKIYy0vtvkZBbsAEXzAvSWu0sS21xb3rzokoqad5FdThRIOMI0
p8+7ZYynvjs5RdOyq9gzxkZfYz93yy2dcLRfQrO2k2HMZB1VMt6C5+g20IKHA9UWEVw+db0vgHSb
VcCITY0OGRNSeXu6MsnZ6vvqpOFe28DvLcuQQOKTXzT+W5W25j4xm+ghSdxg1erBch7VmnUEAWpr
dlDI6bwkN+Y0ZKdYqFfpx9Wr0Gtj3/jdsCkG5ZxBm09rEKCg0lU3XU26zPe1bogN328+Bk6lr2hK
YtrmNMG7bun9ee6YbZHrUA4b0Nc9IKaoGL4MpMHcEL0RA+Kep2NsONmB/JnupW80/c6YYvd2yKzh
q0b4GHFrln0f926/GSqPzpE7r6e4yHeW00GDKKW4trLhWUUT7flstK/wV6GkywJbHepO2ltjymHp
tIZD5rYViP5xNhLrsatJZQp1kahTKexq1TKGnYhvP04dLSU6g9ad9MzWvWIybO1dsyY9LDXb0+i+
OXlVHClcGLmOWNZX5mzmFhIQh/VqjIoTMyrCWpQpmIbS3Nu5MVHUoWMb+VnJmU1JG1oiOMvIr6/Q
OWkHVGzxRqNa+gYQl3wOmlPpJk5aJmYszebBIlGqAh2Ib40uYyWuVFB778xNE473xHf5bu5/dZrA
3hnCfyPacoCYXM5nsltgSkZJcmO47Vfd7ay9FXRU0KPbPblVTMhKbcLAbjVWANtRGBrpM4R1NfdH
cmTy5xi508ug8oawJJemWIWs853vYW7YVpHbOIY9PiIdabajkVfv3WyXpwTFcLkS9CaR1ejWGUUq
c1wG7vIlcQiaAe9UvLSmEW2mwWfLQlGSNWHNFLmRCu1l6vS7HEvude9X9lL2Tzt0NIQKxsjwXmeC
IMmL15CvdYOpK7QaEURNISrj2fbBFBhzb23pcRcnPfDlFQbi6OTSm7lxZzt6D9pJO7fjJL5LzTQP
BFENay8Cp42dTUVrkXfmVZD7PdjbLkpRHFJ0HXPoBUcKEGathqG1W6cruht/1vVVN5vFt0K0JKUp
vdpUut3c5YQob7VBMt4kNjy4wipU6iAd+vkqM1VHZqs/PGFqEvt5SKxvbq5BgdemFgVdbrZbujgM
q9Je36VGB5hGtOhrs2Tc2x3vFNKG5McUaeajZdVfgkieNFX8X/bOpLlxJM22f6Ws90jDPCy6F5g4
iaRIDaHQBqaIkDDPM379O2BmWWUoqzOsls+sq6s6FRmSSALuDvfvu/dc5WSNjwOFkIeRehFjMPEs
+OyMHDKm5UbccXiI8zXqTfZC/AFuKupKDNtdsr4T7aZ8G0cVyc4UVuXrXDSsZg06LglN3qkJF+U+
Rcvsl0MqbDVSJx7kRBY/ZM4up3g29UvFvnun16CqgdmlPAnKL3VmHtng+EmWUGnr68U697Ic3C1o
7rZ0IpUNs6PwEHsgY2g6c4/Ko/+WoavfTJ3YfgnGnABwpJF+PPMUASFsUbUW5nyX4QaY3SnGTUxK
DueBNcGNGmk/X1A0KRsy71A7YxjxK9SQu3aZ54fZyKaZas2y3Avd2H6UiBAPStwn24GUsS+Rpnhi
nDzLEXwPREx6nzkQz/frs7av2qfZCu4Ds7gvOS96lIquQU9rQ5Pz6wy0OJ8tFOLGQ1bGrmYG1ywW
3nVDeJB79FVGcCJCU3fSeqbGW6JR5BE76j5J2gIrZa2/EzXQ8+qKds7rbgCQrAnVrpqy/kANsXEr
FCGOZfVA7EodC1yqBI+I1duDMozgcIY8JUcsDzc9eWD38ZSYm2EMLNDsLZ6q1FQ2JseJJ5Tgs92Z
vVNPI4nygWieAhQkO2II7gjFnHpHyJX2pBqNtg9EazyEWuKh2Kh2iIlKtoJS+BHKhcaMlDV21Aqa
z4mTKGl9TrUMdmXOPKZ52Os8Lk7se5NLlFM8icY7sem1UxenHRipupVFVzVa7ZFtiym6XVFfRzG1
9mSJWR6BD+E17zMTSVzP8bAJFPUAl0y+SLlebyJzmUTkbPPAIjXHIskBo1K5zIDp2YAtP5D8lSZf
uQSk1uuzeK+Iaaq4ETblyKuHEDldES8bYSbhXFOW8EFF9U3maqMCiVi3eOSQqA1am8EXpzy/ZJH8
kSQQCxFCqdHFijX9rcjQGZf51B7EZZD8ODKqC6T/1iDwaVEJWcgI51S02Xpe6ojEUqsYCaUCnHBq
lmRxqDuXz1aXo7ZL1FT4KOqREr7ME9evKbluxn7I7rUWLWY+KmyzdC3WPHY96iEcauHOqKnm9u0Y
bmOrWts3HcKWPqZ7E7XGvDGWuHAqjvzbQjSamJN6UtDjF6S7eE6WywTT6E7EQeD1wPU30kwqpGta
FWWGIpzT1OYZk94ZrY7AYVhGD5f7IDoqjZS9kUrGXRLQUSMntriLRqFApB9I4W6eR9qKxjDbQxQm
urMAEL60FqV7DopBuJlAeakMD8HwKCeMZ1EZda9qophguTTNybVbX2NEEsfKMlSeLgWhN44BkkWO
9WXt6WVSuUm7MP5HQtdtM5smNw0Jw82bbNr2NUWlTAA27lvUCeygHvQQtTuNRTkPIZtUg7a8oxFM
tk0tZ/dRq3e8c42n/9SUd4my4tEbUXiU65h4rjgmXTAMlENWqRE/W87P7KzM/VD1waEFg74bpnJ5
oMNQ7OZebTcR1AE6TCUq2X6Jvo3VxC3ROjknADWsKQeUrZEjVuIs3+VKRvoN4UQUmpoa/35nPtAB
RZ3TVuNDLGX5Bu2x8kBIjeXlqtmNjtml+YETfrGrZ8HalKQFkKccBQX6IDDVHBDaXR7PH7W4pCx1
LScrDVUUXH8EyCQeFkaCUSCQSdMUK/FeFQzxYzQaeY9onVhDQiCoTyBL3yZRg9Ce8B9P6fLqCPFd
3pF6k3/Q/rEuVTCy4Kim9CKQPItYBBkZFW4yOG1NKK2PuYtJvO7zMiWkdhGoz4dU1UuE7feABcUz
8p4UmTJPorulVPL7Qm2ns64TxrfLoSl8FTJV3BUdYnT4Rmyz8jo1rglS4SvRZtMDXcV+qyWadGRC
NIcG0ded1ZNmwvQUUaL2oRON0vAllNcHZyAud22Udz/EcoheoavOh9KcCj8ZK5GTmTJssR9IO1Hk
kG2OQ/lDpI923/RV/g2QSr4nLlX0SUbuWBOHYGeQ2Uu0pzjvc5V2F1EM+Tabs/BKe8MgFKiPjO0o
T/0xM9lQ2pA36ne5Gmu/bQY0/uqgRttS6RbJJm2NSsvCgLQcnbRBXzaL6g43f/GKli1/ELO2eUxl
rb0Ga2aMHCvS1ujm5KhNqnIkSm54gM0yvsytKF/IL45w1ekR4sJGOQDlpdeYl3RvtVGxXkhIdGtJ
nB29p08xm6G56/MkO5pS3m8VfRD3WZyqXDFUoGxhybEgmeLcKULkoD0y8DZMBna6biRboGzSnpMV
zVZSB3gjUzlsyEkuF+iDovBdW+TwTiiWWrGNpXiCr19v4FiTkBA00o+2D4drQTrkVosraaOlyP/0
QE/uZOY08JyZxBJHFqhOkqycbTjFqvfUOg0XyU25Iamz8dHdbDRy7vruKQ4E60Efa/2qa2PwyMFU
9OepRNs7G4ZDAl7u9XJcPyxhKdjsVEcvEoLcL3ppOOlh/5FQbXqoAXYGttQK0RFWPzT7IZJems6Q
ef7lmpMX9KInjGoe3Wfd1bswoI6tLti/obaTU2sYKFrXWOw4aPKDknD4i6Y0eSHNukAXOuY7q6Lr
r+fyZAPVJAFTGB/mLhSdTukifss0FXQZ+/yAfqq/R3AcHfuYB2C+1gd7ZIjnFtPDM36x4RyNSvZi
hdMTGX6ZvJ3azjxTKYyxbOn6rKFPN+lihQ2WMgopZHKL5FriakDHjk5t3R+F1YBLjbRylPNsmml0
qWxPNUFqjK2SpYik2Mf3L62KwpgOt6wNrCtTjiOGRvd9QCeaUTSBCduwW2WXTO+BUqCYy18NMwx0
vyk6xAXkvyPbVstmm1hrJj1D2xvzrtRf+jQgV10hxZwBExB07raRxE/8rnEr6Hx9TSRqcrRA4gNP
2unR7FqKYmnZExHciE10MSSKZoU+8BtCmvrykaxjsj+FcCiHbbsUscKBoIkUt6nSwi3nafq2yJCw
CRZV6hNbBuGgqg36T7a1VPvoEJJBjkIPX2PfT99wAZinJtB5uZvOQ4k4dlPTjBZzKytSzO1v4jx0
dJp6DrkuKCLCLBa3zbIQtqOMC4WAUJsUKlZDsQ9NslmYU+N7qFG9W7cWrPdmTNRy2Y/Ffgh0DvCI
4zD8jCplS6GXzOOtlDmwCXDHlrD0JZasrZXCWHJVdkQe57jCVc06+sJU4iOiutx3QLk9I+/jK1sQ
6icyjVsFHYEdpz3AeHzTe9bd/tounAEFbXLm2qxOmHMlr9SE7LHoleQY9so5M6cL+RK1I6ViEXH2
pLohllqD/6xkb1ZE6V3SKeFdK6rFQQ+E1xxsYW8LEsdPMqBZKUNdI+0FTdu3xqhGV6p14aK1UufG
uv5iRneFqj+ZZNHabJKL97gL4o0gJ73Xq5axJQQd8aw5aF9ak0RpOwmM3Ic3FfirPokT/RreaQYP
vcIBPVR4YGop8gMu07I1abzb+Aby14GwyLu8HgwXplLtWKMVnkUhaH2M+SnnGWQmZmNZbozgfF8l
AypKiJjkcLLp2xvZnLwZDaXoho3am6Q10wsY/vh5mfJuVwhD9KWk3BV4OERZA/qkjApn0klCoqMV
YY2VZmprHdTyU8iYO5YM7ktA+PqR5Sc9WVgzZNQYWhz5dVcFDyg/pnsi7NoN7u/KpkIC3o7ZwsSZ
5vBHs5qrES5X2XVeqPOz0dPPS0Umrkf1DJpB0Tba9Dup5o9u6P3vDljao39uuH764/8c4+8NNdeP
7nOP9c8/9D////ZlZTRh9ET/977s/XtTvOXf+u/lz9rA24/90ZqVrd8Qh6l4h9mNAcKR+I1/aANV
6TdFwfZugMtFEyPrmNb/6M2Kv1nSqmsn/kIRadGuYMF/SgOt38jDAOVrGCAXsLfxY/9Bb1b71Jnl
ZREmIjNGmijCvvgMq1xCTKhaJF0O/us59Ozdxt75Z39n+/7Rv/Kfnb3hK9vzvNB29tv9x7ZyRvvD
3W63H6N9efgFJEb62amPOf/T+1l97X9y6qugJAPEexf3xX30N7bneNtfGPO1FZfw+4je/fjv//rr
S3yiG6SlQKJ8zEsct0f7xXf9wbZ39teNb19t37Z5TXfruO7BcQ/+xbG9g/uLd3CD3f7dO/hEPsiT
hidoIl2O/vl15z/6XF/nzdnunYdfvBJt/L//sDdl6J+uZ4tSmp4tL8UdPvDp1vu6/h//PL/6x617
Ptq74+vRfz2ea9v1j8fXV96RfbfZ2dfddbPbbDbeZnNnn7yts3cOW0bC17s7Z+vY9p3tnLa8a3fL
Bdu6zuXg2I699fYX53BwHYbL9k/z649V5x9svO5Z2bv2v//rV6PD/ISH7Nomkwlvvfju5eXbObTP
tvf15Ij2ry7bDaX7N3fI/OT7TwdizEru0ME9uq57PDMljsyK24C0/do+c8++MStsLthx/Ru+kQnj
X23+1Y6/XMcR44npZJ9s/oqv1sG8221O/HP7wLV0987lyHVjvh399e67rnNyfH/n8Y38eb93nHUM
+kfGyNlfL2hkb7lj/Az3y3e5Iwe+kav/cjyvN+Hs8jN/f8l/OYDW2fSnAcS2rRQMrgQvyWfk3dmb
o7u7XQqbj8C74r/OL26AcoN//N0NUH9+2cWgWADb9OK/cDmPD1tnvQh84Z5d57DbHRl0rwzcHf9z
mcK7jefVNl/6Wy7p0d36r7bvvvgb3391d+czt4M17XwNbfsLK5zPVeQ+eXsmxIt9dfb2bTTtNrvz
7vq+C+336/pLvz2eX2P7cbG/hfaO4ba7Xs9X/vj+zkrp20yC0wOTln9etg/ew/aDG7vdPtiP191u
su3Q3jBrvtydTl9O+633tNtvfzxcHG/jXBz36Hjeg2u/3a13kHH2wGyxvf3+jkVgv+Vyu6w7t4WI
T/7BgnR0mV3brcPH2zFiDs7WOzESbt/4/MC/Xufng3u4vLy47oPz4xfj4GcJ+V9WTfOThKet2yoy
1hvCEvLChWAgOHcOA9XZHnivjvOrJ4G2LvV/NwTWpe1PI4+eIhrU9RXPO4a/87HdxTY3dB3ozLgz
H5J5xR+ZLvw/e8+dX//onv1H93F3PbovJTd9Y78cvq3zhzd83tibx/thXeGZplcGjfPgMcu8yvZO
b4m9Z5ztXVe23Qsr4atlP3mndV679tb1eBTY+3U1+MUM+4Q3+uuV/fTICyQSLhc+59F9fdytU//h
72+destL+bsr+emJx3NfQmbNasbAObPgrM+Bw3rt+JTrAsTQYiAxvpg5DLQDl4rhzbLFH7ke/N2W
MXl0vT1f8t3+jsu/5W95fvA1M8FhTrk8r/mV/Pr1W/ySn989cvNYLJh7twVxfcWd77zyLbwF2+Eu
rN/OHzx7nU5bXpfv5Tfeb878eqYAv4qpvNt562p7PL64PK92jzYXip/hYbSOQFZO3hw/z+9bf5lz
xxcsEUfeEVORXQ339dnbr9/q7Xfc/9Nt1eJTbzclH55ba/velvG8rvPrGs572/CTV+eN38qkc/an
dWqvl4kLtf40AyNnxeF2Ofzrv79lPw99JHf4DGV4iZaFmu+vYWExnXzOC7TrQ30KT+EyBE4/5sNB
iKi6iboAdG2afgVJWpfUf42SP150DToAm6fi9f200icoGDCOc6hqkJtdUkJ0vQWuwC8+2s8bzn++
ysqNU+C7sfH8eVYr5DkDAOGjReYojavcjvLPMtOXFol+/MWL/ZuPJCE6NNaLicTj835Bw2FrQO6K
bCrYqy0gDzYl5Ar/7+/Wv/lIP73Kp81CU5YyCnxeZYgCPtFYmVdJKGnkT13wn3Hd1oHBWUEDcYkd
gjPAp5fqeynSmyCLbcOwtM1oqvQK+8X41Qe6Ueh+HgsIrsmlVAFIaeQ/fVrtCR1HMqoCLJBRvISu
HBnpaFfyInyh0188C2skhhNhcRR8whKHYycPMgr+OhANu+2y+dmUgfY4Yyok0W5Weu1tRpkENi2I
UfBMYw/ZIaRK08H9jZBOhyZG4M20TEgcY5rvnZ2he84v0aTKhYN0GwwytDu1sBH3AVXKLK4wkI20
n5wW+gXnbIkmIyX/VPtYSsxFXl41+Rb3iDh6pLwD++6DGuWSlcnt80gAaLSXZSQbmEQZe/TFxx+l
WVgNqIAgmm1yqzt0/DDPcRULHapBGXArjTGxLagV9NOz0ip5eYwQxVOojVYWXaSPzB5FQ3jvgzga
VcAsclrapk4lytZ1EDKAwArw1EKDt9qmyoRGKFbm/CkQawPTuBqZhYMmEwHaogcxzUmhyRpPFmrr
ZaB/8LVsDHA+YC2pqAaxksYOBdjK8sTIUo8I60bZSTqKcXYXKVLl4aWIIpfKnfVjEXtC6suqpOhf
SGCXbLzGbbPVxRwCDf6tHMkf6J3GwU8zaL5RN8klG+DJ2E0p6h+6XkkfeVJrhAwbxmwdkSyZqjdT
QxVcgR7TqSPeQ9lStaGXXWmKTpU/qZpzVoUj2cBprr4Vclg9tIacfTXqOvvWFBq5JkZjDr1b01oD
jqCLyXGW1Ez3KMmF7dOQl1Ho01Sb0BWaE96eZNLqj6IbBkRLnTUytWW1INe7Wui1pAOyyk5Y30GR
ltEdGldVsEGeK4PbyHX0mlJZOklFmY8uPg61cMWQyrdN6skgeO2MKctXrDH72veDTEs2slramKQY
Yw7NU/SwlWrRWiaNkhZ2H6Lsw+y2zash/QIbhUA6Gk3AvpoSrouT5Ui9sJzGREFwq6yHnGZn48/m
0hReA0U2dEYG/DsoNfOYJyE10ZlK44wcv8bDllFPT7cEB09fafZ2kk2VIb9DjQ8ki3QJ40OlG4M4
oy674qRqoSXv0hYquRNI2XCZWUe+ZxK4G7tfYlw3ZtzlV1xoTfo4DYwReGWT8DSB2bex92H1aRZT
uNShWhSeoKj9PgUWV/imYFarpb/rJqdmFs1UkUEnkb1sma6Cc525KCYY/oRBD44kyWOiyOimJU4V
yOitZkFYNKxzaml6TUPMB3qupL0QDWL2hIv0xUU0Y+A3ulQM0bZpjba565VOy71EyEvRDSZJifym
U+YReVJliQB2jBYujmxVD8HqrEvEWP4u3ex2rYhrub2Z8JpxxJ/d3Mx54urTg1+BZa9Orb7xY0Rr
90sNXdQm1zmtt+bq9auR2KTuXOdTdMIKV9w1lJmZ96tHEB0fSy1kCayDqp5rT90YYSgUtQxz4bj6
DFsR1Zab1iTEbuubFTE2iwaTzM2iOLKmLHREcS52NxNjNUWroXFS484Zfzc6TnVs0ZfA/whBoP7a
/26KpCMceWE4j5o93oyT8C+jb1ZdoVWv1KbP3TKKg0f4Lard5jl3YrnZMAOpWvg35qhHbqikqHWX
xMC2yYzCYKKvbs5o9XXKq8MTtYQOr05cpkdgUPqPqe2DZ5jlVrfD2IaRGiBH+GgNSvwKupkYnZvf
Q7lZP3REPsLND0KbXnlQby6RorHi7/XNO1IoofAkMiXfopu3RIMKdMxujpP25j4Jbk4UTY/LJ+Pm
T6lNtW0c+hoxDKik/xqwTsH9WG0tUaNgcMl72tHTgu0lMgrlMt68MDoR7cTDrxaZYQCd7dDDwzkz
3Vw0+mqomWrYAD4F/QG0XFVYlV9JJv6bobaCJwr/uHKkJDXf1dWqU91cO9nNwaPf3Dzxauxpbh4f
5g8PLbqawYn2uvy+VEXbg6rAGlSGqoUtsmeW79LVPCSgLNL8DqohMI1KLfaGLMLZH1bTETne+GhU
se5PYVLq9Q4E4PxoFgUSjOjmW1JzPaFwblWIcFHnmqInV4Kq0XWtDvNqfWpvLqhSn0riEas2nhzt
5pQCAohrKjRXA5VkaHiphtVX1d08VlIiqDvt5rzC1IwLS9IRZ22WmzsrF/UyIjtUCw1fvxm4bl6u
ccKEeyLBtDhApJ5FO8avFLhyH/dv8HTUl1YaVxl6ha/d1mQ9fRsbRIg2ulCk0yJvzYnFPNosQ6nF
9rDU7Q8hxl2LSXWCPDIkRc9Ck1a0socKFppjAdlBsNkjwnbGNmT+1EB/c7cWjPA7C48m73DMzl7e
V7BS6EaAVgsSS/gWDgFdE3GqRGB2Q5tdVQ0tpZ0iGMideM7UwJ1xeLaOiNQZ5bda9KWLlA5YoSgn
QeoHKKCvQmTxjCaQIIcIEi+6tZEkwiHZkleIiKBdNaFP7T6jixMLLAuCzkdwl1aOHo12JrOkKlvr
Q7DUqb/jV0WPCc5e2TE6AQVAApz33KhQ09gBN7RLi1kuu00IxTxzl5yeAh0+q+SeL4h8uSwDez6q
wqIMFGbVLc9DXuhM+FaXt60mt+01LBrzLHWz3tpJFmZ3kyWViHQFaXiYcWLSQi4r6QmtoC7545hU
k40x1iIpRiEoQ+FDNnKRfjeqHDsqwoXoCdte/gRQCpWWWimXWFmqDQN22FjRLJhuRtB84aeL8l7J
6y3vxFq+mAI7fjuTFGFyQjmIH4oW87EDOVEX2X8zVKogNjN3lqLgFVPQsPh6IyR7EBxD53QlCULI
GfoRhAhuNMtJgHdodi4qKJuLpOpSCG6iWWH9mdkpzVEearaZGs1LY6Q8MwE9ripeJp/kwODUTr2W
xZO3tIw8m92H8jWYq/qk91pwnuaSUdfm670XZfM4IIR8LytzfKR7WpBVj7QOK2QK+QOjS17cJWaT
vaq9mP7oUSqGrqAH5T267lm39RovsTOKFpCQcenj4Rc1gr+cY7hqloxnUiSFQJQ/U0/zmhTJPDJe
rBhgf62wGZr09FcRz385xqwvspKvkUnpHJg+11uUWIWoxNOHR6DlKbWi7RXwRdCOmpiH9e3M9H8d
pD+zJWD3cyf/9w7SNS7/sWneih/v//hR/uNUNt37T62k33/+n5gJ5TfaQTrtIg5mGomYVHH+hZnQ
CIqxMOz9/jfUxf9oJQn8lKZx0gblrGoQKNbQrH/2kvTf8PgAbLQIsGMvQ7TWf9JL+kQ8Vtf0BXIE
2RNZdIABW/x8sm9iOo1dq7/2nCHwcFzIYsxFwy8l2QYZbDcI8cggS34fSDQRcVv+m57A51LJ7VW5
zvTJyHSDmfHzqwq9xmYZmfXU763IvMsHTy7xB+qJuywvf7o5/+almAOfSyQ8mnFNYo2U6M5x4Pv5
xeRB1FJRlXkg0+IVnPoGA8DIlgjesDICEHRoG1EiVMET+6hDpHwDCkQ3uECdhpF1RtAPdEBf+QNd
KgtP4w1KgJyRhwB02+BLdcMWCDeEAR6BbHTaqUszrG0r5mBCHWBs5Bv+wJiVrPPQgNKv7ldCQgfC
K3TSlZuQ3BAKEnumr2VeDv3OXBkLSinLEfbpFb0AMKH8KG9AhrFpRvN5imoFfU1lAG1QjZhN+g3l
UNywDji7pEe1FIE9WDfwg3aDQKjiCoQYbnAIojILsJESKkO3WfkRKzNJsqVaE70JIq1rqrmpu0Im
5icBvTi8XnNAFm+loUK8ZRDDA2lyacZtBRCUckOIYO8wDwObcFFJMKv1gjpre7T+2kFMJgN7Q2vC
97KGUMZ/SY0HaoJyItkEhgFEkSuWgZc2FJDqGm3SoHnSCqV1FT3NTchjgj4T2phyOG2bJoAJhwyc
4wW484xjx8KyLlCJQNqMzrBxc3OeZ78Sp4ZgehUIBNa5AdZCKUl9d13MXNgQ6lMKZzXKjB9TPKak
8Im0+vEqg5b3m8TMQoRxEFd2Sm3Qvsf3VL6UvZm8163Obh6veKV7MrGfhNYVYA+9ZiiMaOUUD0fL
gpTiZr1g7boKZZtrrbJmX0ZjmZ47E26JQwaWCN+JKle/8grw8Uv1kpQbUIpV7Ro1Odp7AVJc6C0L
x47ao4QYF5d6GJPekaQh+j4WFmmjSSdW7BZEHRBDpOcJl3C20m3Z9DUbNIbY13pQ+Y1yrKcICOcu
f+vCbk2G6xLjVHL2eyzQ5lubWBnlvVWZC9ecU/ToRFKcfOQzfhsikedC33OGThbbQFWIvsMIlJ1a
m8l60sW9s1nSvHuM0NGvxYihP0CKwG3IVQNoi/lFuOt0WUjcQZ2qbNOFSyfgAEbZXEtj9QYOY2hc
7PULJNDIEN4GZe6uUx+GzyWC/u+Wlvd33Q3iIDDQYEB0ZAc64cp56LV+Cqn3UKACFLjiIKQbGmK+
YSIgzeV8+w0fIc0LLtrkhpWwuk7WNlObA12Q2ma8QA7rrtkNRwHQBHSLPKXP9aBFwGDgViCuETrX
rMfp+3DjWlS5fJ+lBka1qoCNaUNKw0hr1Ot9aFY2BsWXaH0vAwyQ8IbPaKLZ0rDKNFNnaxFhbLvc
IsLCZnvPtokMkOmlpJ543wOg7fxlpXQgcZYSqgE98I5AWUEest53733TDvfLKEuyT2Sb9W5YJedT
dnPpA3hNc0KQnqZPeC9AhYwwD9FO52nlK+Ro6h7Vn6gjlHGFjGRZ1D7FN/RIecOQTBnzFXRnVRhe
eUOVDJoyf8Qrv2TBhX/UblATY1nCHJyMptyLK/WkWPknyw2FEk4BWJTaQOfjoJk0FZc4BCnadCtF
hZogQJV2ZavUgZrnblwaVeC1N/wKDL5BIwOjDak3C6YqHGCZ4kyJV3LL/21omvh79+cNiaJoCrvG
/31D81h+f4OcULT/5qf+2Mao2m/sDni0GhJuPr6ihP3HNkYTf2NvI+umBJdAW8uH/9rGaL8BXVKJ
URB1kFhQBHjO/3MbIym/sW1FDSOKRBlbtBb+k22MTJDoz495eAgi+htywXUct4hjPlW/w0mB9lsB
qSq1udiXihlBjp7GEStG2/lyGC67SV3kxs4HMxWQtQnhE5Fz2nkceBYELZZxQxPqTZUmcBmLsNgQ
WPpuhvkC2Vg297nRWaGtC7WOLVlbcygFPJc58H5fjMfhRSQ26Fw2ee3iJitB/QzC99iSxjcA0H5Z
afezMYg7yuHloQ4l62nKwxcpMKZXLVXrR6pRwZXafXkqql76qoZyz56+au4zU3DzMPjRW0JxJ9d5
89QlkekHU17+GAJ5WN1ViexPYVGfLc7HLk8a5ZAMHDpFgfrbOKy63rgzXCMxIC1ouMPOGQjsLfX8
9F6Z0gcINxIWb3XBVt/3LQCSQD8FVYAYs5oxOWZdc4mKV0NCf9gpwyuHeBOvbwlUtkqJITAxhTlk
DUAGEuMvjcixLVPG8Gk2sctFOj5EByD4nrVgp2fzuYwJt1imbN6MotatB9PUn6YsxusJEsMdjQQh
5ZQsuVemhsIvHoZdEvSll03D4KhZrxtOxc4DsphUO2UfGB72EBHnjtLpgWeAtc2+p7WJKjMEu7ll
/9BYO2Gak/MCuXdewbYBpoek1YXnLh3HA/Xa/IyEqcPQmFrbUGIzpNVcHnce5sKvTLPwS5xPviil
lbFZ+rTGfWTm/VsJruEKL45DJxJIj+S5ZGsapiekk9eIY3+XJt+l5htYZ1s2Fx87zbzVwvCrOrZf
Fmkx7Dx4VhEFp0GxqQNKneyv1eiDI+N+GGkYpdK7GOZPfbK2XpR4l0FaiHFEhyDVdEU45uijJXTu
cxleVysBMVKH1Xc2g2Y+SawMrly28CjhXtV7zvC1X0t562oqe6P5oY9jWXMK/HI9nLCVIlVhTQQo
WjwmUWfaWSOp3pCYR1kwCiy+rOdmsTVwmMQJW5pG9EwRk56sbCZ5+Goo8WasTV8evsEUuAg4Wzr9
qkZfgvlVolpkm8EQ2KPYOcrUKb4ed+FpkfCN9Do68JQKSumPGRzdWGnAkw6XVtep4lgTbjxt0ytA
0fuS+kH8BZDwFtWo15mUBXRgRQ31k2r9HRoyy6wDoi6Ddf6gI2bj4HEjY94F1bCp+1La0HMc3NpK
nupKSXwlCB+hMt/12dw4olpXH1kKWMIU7lWwy5lmPXWx+RSJPK4AxIpeLFQUw8WjWr3HkbZWxDQX
pAUcIVi/dloALxtHUfRSitG2wXOMvI4NEm/QaaL4WpRWdtSTlDQLzM1scL9IVuwpY0HfQdgCkKPo
YsG41zEhLfLHbPTRBh+Ao2qXTgx/MGvxsuH+qZ06tM65elxS5V3VqCOJ4dPErgEqWwvouhDObQo6
OO6LNykTUqcPC+i2U3KNSCFx5iA7B6J8DEwY7CKgY5TW5n0gxd+nhPJTC1tAKXoMRdrXfqq/4DPG
yZwJmPuyh7hmlFVUfOSivYhd9hUyM+MzPZYz1E652IEp93q8ZE5YJriGOulbOLbfx6Z77sn0gNNG
LGqeCd94nrxBhT1IvbwlhuS5juonM15NB2HyGhRSwfuV3U5jOzW35qU3QaJIgj/G/Znti0Onqb4v
J+Id6ijxR9y3bfndLBmeKfN7acWD3t1HyuIW5etUDL7RxHcJ7yoVXpTJdPqG4mJoLm8BfJBRTzar
qF0BosIA7Su3lWKnrk6RJW0XQIit3r8OYz6/dT127ZyEjhQsw0FkGRTF/mPWuw/AcGjwQfDPRjjY
+IM/prrBDJxzpGYYLA0F++xHy7rAvuY1qEEqKhZHBuGe5xFjNjoIBNBpmG9kVXMAH0JbFEI4NF2d
OxqlvDpov9ex2OKDKr7M+XhP3qQPuPvJ1Cc8B+03hONeaUkpqO4aRqwA1pSeptKOg5N1g7Now0cv
m+dkEZ8BXpzosN+Ty7GblgDZdkrOS5Uodj8Q5iGOUbpLWuxNyyrRJyrHxRGGkY2aBOU6ushkwnIy
GJKnkAAKqLLbPJchl0jdD70IHiex/WEAgsbhSP9ttFqXXlVFxEnw/9g7k+TIkS3L7qXm+IJOAcWg
JmawnqSxc3YTCN3pjr5VAApgT7WK2lgdMOSnZGTWl5Sc58w9wklrAKg+fe/ec0+9dzCYXazDrU6Q
QGflWEDn1NP7SMHHTpeTqG6zDuKfHm7jrPkilE3zn7ObqXX5kksiN+BMbwK8lZveILnI1D0u1fol
LZtT70Y7i5SMDc1uEDg8ule75E4wawK9A/rNrf06lap/Nb0+/TM1MykbwAtBbKujNhPGqzXeWKT6
wbZlqWd4Nt2xyPyy0uKKy8F4oAzf4W5Yz6ZYF2EIbz289Y4SV7Zy2iU8qw2WSTrM7+3yJbpyFznM
XocnztyX2kluoq59ktgZ4tH6lSVmtVpXhiPJCdAIf2VgF7gRU0Z3oKwN7A5RjYej7c7Mt9yrJibi
qNUHNNB2FoQVYq0uOYt3PWk8WkNCpMcoNKywoL0nV/bUWcXRXuJ9kkRAnN6Zu5xML9ljjtxKjknF
eD8WEkxZddZ2fA1qazvmeZhx/xbGm4KgnCRXIU7YB7aqrQAZJmHjqbMdxcRt5BxquH6BTeVghnHy
R5r3aVWFYB0OSRBtnTG5M7FOu+278L1N0zpbPcU3g1eEOnFf66BlKcbpMBUblesPbym2E5XFxopH
/H31HU3fPbbHo2X3mywA2jECm/OT3ew4F9oGJFbFoUvqUt8shDJiYBrKN1BGp0HNdHWd22YFesrx
Q2UBxF4jLKxo061+0dreV1ZEIkt8I8TPrHbuTc5HK7hjqv1DXVsPCbeK4/yBIMnCEp8bp2b6/jwC
SZFLvCv9+KMcMS2ar1hTNoVa7u2+uHYlP5UVBqSUllYapktXn5Eb8O4rSJdWTRkmCVpQKfz4XD2b
xXjOpX2axnQbQ6AMkrreG0NBSsgyQ2RwaRzAhYCpX99SW9JLSuIBmHGyXvRndqRQUM3A7rAuQeVH
h6lJv7pSzVe3YQQUBfu5VeIM8VzuJ8f/5aXFbQUqlYFECkNn8E4JLorRz6/oevb4319cOEcA+W8j
1bAiyk3rq+bWt7w94SUoNYTcjOT33smA/IDkslTdn86g2NmKgWllNJftXau4/32Ms2HXpc+tBeBD
WxJO0qKCcCSCapvPYGK3bguTye63ScU/b2DvUE9tYPQcrfRAR+lQCeunqvPdaKcn7fu7rIl4p/HV
S43PNI121cAWD2fkQq44RlsiP9qxPJidv2dMRGPIea7HbgpVM+/aGbNGrc9ISnaKjHjAqCdKux39
wDDwup0vb9PCIN8IXC3iLNOAAKCJU3Gs6B087taqET/AlbEqyPRJPh9693dkvdkOVRLW3Ck0jGFr
rzlCuZ9AClvzWDy9yWJ3l7qPzXBHNbsdRUG4s7uR/dHyxqPjA7WaAX04jLVzoQSVLVmjnFdKBkMG
qV9l/tKvSX44WJ1F2jtZzKGTyX3KF5LPcgwtNsqjp5/L/q0BnmA+yPllnKOjYzlk/rR7dCcvhpK7
Ho+6Y9BaGxlcEgO1WfQ99Kia6cxv6Uo8ZQw1Iz6BlR8Sj/OQfk8mjGCBfFEszLH8Y1tNOBXtySqF
EcbSDxP4Az3/MaWkd+FtGOP43MpkJ7hBApya7oIlDUKIyqYwztM97DIW4fZJNFkPJoUQjI2RCkrz
W6t4LoO3rD3pyrgThXeWNPeMONgFdCdYCTDvbajzsTtB161ymoa2o9Ow1vzSzthFzO9s19rjRHNP
2DLa9YIevMDGY8df4M4gCLqMhQgXmMRnMopUqIpPs/Tf14aIn0flzh27p4p1X3crpNYObSu5x3BV
PUO4mJ+SOtp4/lUEya2CIzfZ1d7r5wNPwSlpSkZ4nT555HNw2ePqd9e0/jEmKwxZG17Q7DQ3EcuI
2ORz9Kj6F9A5GSRKeEN4ci3wWJbLLdBnz5GT7kxyjkomp4RyhkS+GYfO0tyETFeRe6mbPLA2s9Mf
FCNxbn/JttrHP1hYHlrTPATMw+ky0hx0QXFG9s4mLiGY4NMrq1FhMWNUlBF4+UigL0pnptW0hBe9
XKK8PIwEf20H2FLbPI6Ts0UrbIG6kTvlhG/e3wiak/sFAIYT466i3YhySgbHvnuFr7JTlX3OxmI3
gkJR4HtWYFZXNXRrNMVE/Iglub4TxN1sPPha3cSyZb8uKQoX17ir1cwzHIS66kkgp0sdr4AGQXsc
qAR5FYjz9LS1aQ6FIpPbIM8QFPHcZRcp+H7NXbbosAAZw0D2ro1xtye/R0QRwv05GO96SgGF4ZHH
6IdlUzz2Tncxg3YD6meXBfNTm1I+LI/kVGyi/LM1n4m3OEZcrZTz8NJCY8qN8akO7HI7CIArs9h3
CQAkNm96if6uq6eTlWmQ1vEy/DamnuWlHrBw2Rc9Q0KtDUxf3phfI5luxRy90yg89VT/5kTBmUIX
thx/0xpNcfEn5+L7VKsMYXaMauuzTDrwR4NCVcdCPQtF/ByH2DCvBmIa6C9m+MPFFLk7jhd+fPGw
5890tqf2Z7HUW3zJXUkgW1p5oR4zRrGUa+XLHCl8bEvGETLtf0daYj7DThqn+bFsZXHMIpc7MDHM
/oY8BP/UJ6mRgzUEwXRMrGGIr6jrGvVAPvxkhSNkRONMatYZqRhIpGkfIY0Zai42RTSV+H1fDRxq
JWyqmWIyN355tLKnpONjAzgSIuKpmm8XC12SV+wLtu5oPjrcSEAE4Ig5oATLYuB2TiIOAlkWjOgU
JMbqjTSFc8agyz+HW/VKllv306NNENqtiU8y6ou3ZRnL286J4NbEc5doEvQIfkMfkdz3ZCI1VxI3
wfKAZohxU0OPiHcg5hR7emC/0AAZz4R/zNe8D1ghp6Z+hiPmnXrZ1VcyJWlu1FR/aBS08QdXn3k7
VBB3cULJ30vpWN5mhrO89QQrkFn0EdEwjvdIvz1+pY+NexfvM7fjyFVePBDsio1gjvtgp9LSvjGN
+ifSQEgitf8IgCU5erRgz6KvXKL7ZLUbx2TYZSbvvxzWAQDUxPMS+xPZlZxgU/hRP9FGgs5MiPrh
XF9ffL12lvzS/0D8lWNlJ5zoeSoD/yMl8NWmj8vfSZCkcSKhBD6tp6uD8pvgxhw0fzW1cZHT6qIV
9kQRAecKSKehgpt8iGn6yBomXp0F6DgUbJiTJF7pLmcDvIOpK+/6PoUYmbM9KBmkF+h08jagMX+u
CG22O++ZUWeNvmnwjsojEkbaHMlyVJB5VfGWeJrNo6sz8ygjKMXLon/R6uoezbjXezSt61uvsk+9
kGVsrh5aXQbFQcLte9KLyeAqT9f31Hf9SSmPf9i1/D76RIArsjHYqpnfWgdjdNXaAIs0I4CxGBTA
bKNkX19SNa086FHJ2wTu2N4fFnUEU+yESqwJmRrc3/drxgBEniXRlVemeOo25+pSHaTJg2yr5AEe
hzq2PSiFqSDNpPO/TLvh9+rVGgz95Qp1Qd5qp8SiHAfrH8lcOaMS4k9keV5VEPBWilHva89w0C8B
aaIBOW1gLycPZjRKaIHrJ7VleiGyJqKt4U5rzOiXEklGMEDivMdFZL8jFTGPOhn4xet3W48FX0iH
x12WcK9rAOg7ppj84q651zoJaAcyyEup74GdRte85W3XnuIgDaPfoUAxLGrW5RWctj40jfGkVMkH
c7iL2hnCJbkbW93yBZup8WXGjhvyrRITtAIUAx6IuPaLQ22TnalikI89Z8v3rDIfv2+m7zewmPOn
scQfdZbSI+ym4jEmv+MQB8aLXs35328OhLzc5aXiI6xfkJvwW10o7xzcTHgoqEgdX3Aip3mYmxxL
XYT71yJi8k1qTL5R07q1Ox7FoD8FNypamZIBX0OxpPGe6+E1fNm1CU0fHYo8fBMdiT74cNADgzbh
e6JL/uWOUGom6Kj1GDjbXGLvVpkObnQTv36/OUgfemuAv37kkeMc5PL+AR12b+6MPzwfeRG/kGfW
32of10Sao8jlm+k5Yq3fHzLyM3PU+6qt1nDFLzDhTCdHvhe9JFzCEVx6DB+WKSxvJueNMOOrNnVL
DpuV/DK8zEecbbAmuj5i6/XmZ6yl97Bu1vvJ+HKC6EWRgRT6Zqf3lGic31ZkpmsbLwyJ+GCSFzMr
914O1VckY/S21IBhAjAQTWiLlXt9eZS0Z9hAze77U8YdHnF3rKIjzvdPt+eXIjYHGVfAgcFqXffw
M1rUlZLPKpuIt+IWGLTBk+7QsINF8cwqTILlnNvrB/z+dSw53++qm4bgZqiKOxJk2kNFMgsRC+uN
ohrzqJjmEbLDJ6xJyb7Kib9qHzs/UUbFo0bhHlb9BPjA1fJWil4eDNg251zXrBetTh6+707dLtNP
SfuUER2UBBWbwE1HXl/Du7uNCSD961IDjQw2zdAPO8bJswGVkSfy+4mKO1acv0YUJdgClagUJT1S
TA7+xhNHJjoRJNsAWQ5a+WxJZMykQUnW4XVJazv+T4ySKURz3L0VhuE/DOmH19l000UV7VPQds9D
EItjlMfNc48odRuklnUm6MYI1/yjm8kezLfAzVjahuPaZu9bCtEYwTgXy8gObEHeQ7eUxrbX7VXa
jwHECNiae9XGj9D0OdUbUECHiXMAld9+ThRtqkT8ydpquzgNOjf0ZV7pXBp/etS9AtIcWztD1jup
/CC0Ekfsh6YgZRuJQ7Tww7N527m6O/IgXPqhMV4SVI2baZrP/Zrb5FnsaK3fneO6KO6HoW+uDX8I
Ov07kOM7kVTVAW33Z+0aN2CCtxknIXdoPrwhvpfc+5sUnbwJEC56CGi0ZdrYq3F6HRz3NxMG4gfU
JyvYvVMX3nshxC+0IZc8Nk6Vs0Bd0NfJRYrdT9WJM6cDDhHpOyGz74yw6dO2Aupo0V5bwgvroHoY
4v6hbdJfzNztndGYAA6qvjvMrnciVGDrz4LerPU6DfVT51bLjsPLQlwxytGHSiLa1c4P0rhOYpCv
rlffdOi/HqaRTlUM1phw44n+UhwN3YbD2lerm2NOjs2mZMOia9O4KDPmly7JeBrj4NCJtuPrtV+6
wGeeJW4piT5dlGJZouyXoHJ+D6l71EF0HpX9iPthbzjFDrABjFRv43fTXWHikcntOtl6VtPuqzaL
EfW1P+aaYBKHwIIk2xGrFELsYF6AQFXahFOYu4TRQRSY8lIL61HongSRypp2WUeU3ATbvxuSFyid
b+QmuuGs2RrkQIHc5W2Y0hfbeCxWjJvPFfDWo5lLAfGTK6KLhoN61e9k2lohacPm0fQi0IxJ/dKp
5k23qRcOC0TOxgiKvb+KWXUn3M3AKhUGWnJErjPaFeT/wtJHvjiiChSEYz+p4cOKZCgaPg0qSD8c
4F+HkyGLc1BM+clKMuvY8DCtBNzpR0HB/TGCEDwZC2RpxF/GibTO8sCnLzal7NE1a/SOxShHzCfQ
INEwL7s5y61DuXBymOYlPwQ1eAgeqIcOUOcE8xWSsfJ2jCRRoRut+4wY/ouJT3G2olVwk/SEerBS
7F201xd7GUCFVoZ6Ha12COnid/cE+HYIc9EK8wIgxzyV/0F/abFqSkSYojPKg9WI/M53xvwt7VP/
jCqAixwkwd7zON6pBhlKDa/6DGQcvPQ4ejB3iWDc+2AJXmJJcJ3uqFtTcm45fUxDsh3MAWijV+E+
EhDlSLQonLOqjHyPmomLIWLrA918TaWWuzXSiLYlgW5qf7GsEqZGDuCpUCDVuYcz8wOjEhJrrynj
i4gbZl9Jn5b7uPNYRIn2gzVZ+itJz2tu+yFlfDjP/gsq4mg7JVKcC2d0QssdGyQrDc9uQaD0Zh6Q
gGxsa2ZUFFPAbTqd+JvUtj68BLF8xeaDp23qaJhE9VWJwbmgOggAQAXmNuhVBUy4iW+moUB2i+L2
s5FJbnEuCcyLabQWx3L7rZGEmdoM5E9NTWaGhLUlN+vQeiPEBHFMDz43JCZ15BAVlShQ9xlkONDV
p8QlWc12nPFEclqid663QmrqmhotZQe+ieIgeiMUKvvEsrNuRwZQzLywgxvXp3DTE4YUPILFwVia
4ImuKMHb9RI0X9LS1QEEsPP+XfJCgqQYrpqAsPtANPm76j0K3DqDXyN8aH2bcZ4W8DzfZatlpxe5
SHnn5oq9Ms/JfwcqT6+0NIZlt14C0FFsmTS2sxkXIofgjkCfW3DrAUL+bJi+Ystmbc6VfZfHXOiw
jnw/pXersV54gLO22Fy6Nz2tJaksKNL+KrQJNTnmfo+tDJr3wmZfUeOjuCse8eHEd3XONSgWmGty
rLwPQhzVFYFR/2O03ewmbaPodvYK8Yh8vTyWg+GFIASZ7xS2WI5BZxJjWBEwA8oKFeDWAeq7MW10
ZWCGqkOes3eSorlZytH/oYy0uR1EHd13C1r9ZKEpHjdpfJ0HkEZRw31nll63N9HvDHHgP9ok292C
HlKrVaUPwsRbk+SXucSBVaTiwOCalCx/kCpApg6lWMRi+GM7YxomnZUdIfrry0RtzZm7hFAv4jkk
fbrcLXFWHcrai+4XiLS3XWWqG5LFE0bFfSpo71nK+qKF7dy4pVXcMwBW9PTtgONFSUeZuBQeMbB/
xh24L+e6xOTG7msGfY8BX/3rrMk92UztTPiMdNR7WljlbzXF5UF4NZZPPlf/kg+uZjUmp+ixLER0
jEhoPaTWIl6FMJjYNlCUvgrfRE0/EixxdWtj2VWxl//mANt/EQxonzQOD5jT5qA+LL+PIZMSSX8n
u9S+DGQBd+voOT1FgRjSfVWI/CgsJHh95/IFjTEdSKK445skrmXB7j1lZOY2wXAj/HF15OHK2nc5
TwXhBsJ/a4ysuSGppR13QepmP5Ud0UWYx6w9zPXo3wGDJQcXGZ2NnD7N7/0ksUHPxRi1iLlZO7pm
B69KNivyqtfcu6ax3vZrdd94Zn6xWkkxNHQ9EVCqdXlYCJ5jl7by4rEiBvEWmFRHsEBdI3Q3GYsC
x+oceTdEg3+fGw2SrGyKfjCqozNPmQ/NGmJs3BSZsaUX9AIt3Y5/Bpy0OUn1mCZv6vWosk3YV+Wd
zFoeKiBLxsKO6TCydMl0QIrpTJQmbuwbl2JKoT/XlL/GzmrnnPYZeH3iM428Owe1tt59K6Hv3Ixd
XG4xRbjZhfYbwkR/6lW44LApb1rsD18kruvPJC6y52mwMiCI2o9JIus0+Cnw8gN3F5tJDUK0M34A
e4MAGZgRJy78HrQUmyk+Yy4j0Il2ClNzmdjihmwweWeVernP2zWIqRhIj0CMs3hn9mpaymMkulfC
QBh0ZqbPB88tol0RevrvJF6Qaman3S61fGZUTc84k6OSKk6TlVcnltpnlLwPc1PDryNqrYEXDp17
1mequyeXzOkHIkvptbvxcZzxwmACJXsqG2mwE87rPRIWFRebSs8/3Xa4nxfbvClig24hBjgVLXJd
1L0cW0cx5jtuUDdMicp9mPNSkHdvjwezjf3d2Etxw8HHe/CIbT3M6YTIaEjah65I3MvY+t6H72Ea
adfFqA3WwhIn2gXymPNzSiEST9QXZ2wnqEIYsRL8NmrxmU5ivJR6cH+hG+ioMLCwPHXShobYG3S4
jl5aThM8fGdIcLl4K003yYLpoJsCRxBVQBQSQF+9Nngn+x1em+nCmhkfEgc9D+12T+pQjFhJyUAG
wQeYk64+alF1bV3XqXdtCvVty9SofrI66f8Sin4ZvlTrY0Rpe5zbOEZYaVnUt5Fvvzi4xddxfl47
oT/Zwc+mrvLVd6QZneY/IpWqD9iyKFdmBJ2+fGSRA/rfVX5/nMdg/iXQdcG4T7uA0yLHNY78lUGp
IC0PbRI9e27hrMFoDWSyYIl4XlKofYdmCtprw71L/1pkh6iZ8b4EmfCvNHg5HkwjkSM1gS/kdbDW
U3kkzrmYPfr3Y9DuysIaWWeIw/s0UkSuk24YGQBJu3Er93ZVQ4RFYXClS3YMpAMck4S/wg07iw4W
jcwwSiufqs8qP1gWh/vYGVvY6t74pnL7K2cZw4eSkmaKKTOkuR+CBJVbIKiocQJV7odJYCEh8/jZ
XjLvwxP9Oa0p/jaRNeVHw3GoaUSe3k+BG/0C+jxSbCsHyVEnYMo31DUmMcq57K92JasnCHts0pU4
OILxJLryW/TQ7LMW0755M3Vx/NR642sfX213GWmXGSeETiXTR8aND6NZjXeq0uUjLVB59DHTnM1i
qO9YQJ1dlOJ26eq02LP+OCcdx/kfHLOgB0klu1V50F8Ku8Vsx6HwHoo6UeV+qx5LAzz66OXbjm7g
Q6VTTjNBVB5XzzHf9xDd2WjREPiWowC83mKVEjq+RV+x6yqspYlhl/s2BqZGUx4ZjFUjDCkqstcm
Mw+HSjrPvUZy09iZsx2C5d3PPW+rucRvc1W7h1aKCzF29zmp2dugccoj019aq8lkIFhTcxhHCf3u
rq+PVmR7IQZyqpu8/5OUOet9E38imky51Q2eD1M0GxRSZG8Y1ntrGY9OazUPPY7jx9iOo71bFpyo
6+gu1jMLV2P0L42FW91t047mdyTuir7w34Xp43iyXf9PvDjzXVLkGUzspOdEU6OndYrgQO12R7WW
Pdj+NBxrKw/uaaz1n2LgNi/MXn0KY2jP0VwxIEYKdoiHuKUb7Vq30q5jhrWoxjtypPddPM70x93x
QAOWRCXwmaeo67FkdM0ibgxYAscWK13DdYnjA37bLHQIwC42HgaDW6ODb9GVdXnJJMgAzk/o8Rot
d56eQyLHD/nQPGdufohzyROnbTe9a5hAnQvldPcAbZ0t3jn1TMDUfKbe8jjd01v6q8OzfGfBlOy5
OK3gQkJMpuVbFVSCJq8TYNUHVAw8z0WWsMMUyvbOVuReO4ztO3qV7b4vCNHrQV2GWq+x3qvwvDGF
uHroB29QUKtz0zvJlUl6vuvrZAYSUKgTg7Dl6Pr1NpJOEm9nw7V+eJlVXZYiik+QBjDw2wNT77ju
0zu/oFdll9XEtsQkA/ozso7OKK4Zrvk9KW3BXVd6wQXrRXrTgi+/SSBRnwYIxHsv90u6KvMcn5Ko
4Ye1fRyqsr9tLTUcHIOGIzztVnfFjWLC4RJnD+LwiZkKVu/ZkT2G+DFVIS5pBpJOB58GqsGin5u+
Hm5S6WXcQZ4T1gI1EhkJzjnm0IvWkxHqZrY0ueREQTPbMmzrRq8chITq9r4oyPuKcfsWZ5PeJoqv
JbjxRYlvL7JdguPjlM2uHIbmlHgBGQwKrryhGeqKpo1+Sj8N7pZyyj67DtDi6Lh0i9vBahjSlTGq
PfyCtCATs3j0kyH+cjl2nufE6s/5PDXjDc2/6OrQQbu4s0U3f66s10H2DqNx+gMVER3oBmjdqYxu
YAetgjlnff/dV8w6erZVSd8XZSYjCQeD9m+HQ9+rcmp58HGovn2jPF0ogFsGS0R2Cze9fA884D3Q
50OiePIByu9rzjZ05FLOXeAAOIt0GIC+WBvhjOKvSV4xhTL01Sm+VRNF6R58JIcXuI7UewMDEDpS
VDvfTV1nbe/bdkCT1+vMXzCGMT7Bda37+dMMFv3gCRYeFPmckj0MpKmmXpbzOkPTuQoN5RrPimPi
PtDdi+k/pQpVnTCXexVM6zCvCaOK4JQqaP0Nfvf6fprKinAC/ZBnU7fvgijde1RUmBT6FlCm41/j
xMRNPFDKWEhfMdgodJbKl4fF8M+zgLyLUhRRZVNS0UR1uOTGpEBx9yzIKjft0HRQZpi9VPu8ksud
YU6Qo4egvUxEpVDC8hlrJNvsVDOJY9oX905wJn4RXVFTJk+zkNOvOOCyDsR4TGMJciOnUewQUU5P
3GZrylm4P4mQnJ7zciFVigbhDcO54tE1OSB/C4Wrli/W7EfwmrlNoS0zG7CAoEM7TnhhNobkbjE9
eu20YNOLKzXn4HRAYUVEVDcA6Ejc6P1/DAb/yWBgOgLv4r82GDz97uK0+ZtL0vnrZ/7pkvT+sZpY
3UCYwrNWltG/2QsI47ZxEMBTciwp3ZWc+W8uyeAf+NvxT2KU9FzpMrX5d/YC4hA9hpYQb3hqcSD8
t+wFvH7zd7IOb8u1ELNJfpdr/weXJCUl8pJpZOSZl9Em6PJ3M7f+ulX+pSfyv3qN/4BJdPsAZaU3
tCBi6FtRYie7wCqi/8KUTNrX/+ezeARO8jF8+kECK8e/J7R5ikp8mdHOBHlRWSHTl5pt1quMr6qW
5cfQNaZFwzzuGBWnHtMHU6vuUEx2z0YeJ2hFooR2yrEfS1A62Wwnxhl97PLGQzRnG9EV+R9Yw9b8
iGqznXeTZ5mPuhodSWZpW/jM9JiVxKeYKOyFWOm2bm80Ib8lSxbHMqpxXBjWwSBe1aFF25rAdVqR
vxKOIEHrWx1uzVkMKmB0aeIS5L0gum6Nuh22EZgXElyEz9LfkfoBuAQBHq1yzwdG7DorgaeyFvdX
wwmi3JBu1hCIl/fimUlkg+iPgp2mQeCj4KCNhDoBvoPFrDLz5cb0OwZlmpl3ZkKDWb3zTbstfWvo
tnPsGq9kGpP3OmsmWEcJFGiheY1HBOViCRQd8Rj6nsFg8rAZ6qXlswco/U5jmum3OgC9vW0J4Xsy
qzg72WIifSMNluC2ZrzfbjUDFjgNnVyzrcAFb4jzcF6spunGzSIk3J5qVGMZzpzNPz06yJ4TzK8M
FaZoQ88aKtFUf1rE6T1bBKdT+LXmxHzWWJHsuZFgW6y8Dok+Ywpz59nCrjacvCQwEt9I7gQvXmz1
WBdgynttIr7gPLOUs+hQss2a0LY21jeOVPDVjSQdkj0y6vwllTCPt0njxy/9nBI1Zs0dHhQJaf91
6pEjbiY/xYBSyeiFHDjyRdggbB3Oqahv0IEzmml7Zzk7fWS8NszzuV8nRf84cc3gl9MRKLVRZV9k
BwYDy4OrF8hNnaY4YBZZimRLoYRRxAFHXrChOcGTom35GQ/0CohEtBzmDMPo/gEUEdEtbSyyzhzJ
kZIkrySW5OWsKStqoHHc92Wf3AjAN7T/62TZWKTaPGghib0brZQy3LeTjrBimNMXANuca8elJ1l0
GozhF4FA9Oj+Z2/5T3sLObvA5v713nKffg7/9//8zbn214/807lm/gOEMx4jZAOu69vr/vFPlrP3
DxARlh9YwJ9XyjMr4T8N+DamNjYUNhefbr1rYdtXHHGT//2/DAvQs81+ElD3BPyf/55xzXPX9fZv
e4uFfczGWec7vuXADvz7eqyazkDRj3AvLjBjnoiwkncL4Ig6bGxCP2NhgTjJJ+H+KIN0Ql/kNnML
Id2nk2LMkfejd1ySmbIE4ivm7NYo9kY+kK3qCRjjRBPEX7jMMHmWUVxZWAFE5O6Zt9u/jYq+4jHl
MWDmwa1qbGdHqAcy8NZwxgpqDOwsoMuHdIlAxOkuW/5UjOJ+I1lfntfRImwAFgEWUimSx8Y2CWgx
JPZpElNwkx197Hfmxs5k3x4Hijz0TbbMH6rZN7F/ZKm/NZravSMTC3drTjJbvvFNYahNPWfuL/qE
wVfv+w2QHowdznZRRvAMtKdfnolA7tArFrEtjwMBdCzryAPeSHN2iWHrKyK9ktG3sRGjahG70nK9
+WLbBSKsGD77+2Im+YJ/YOY03IvE+20QKfwxerKPdpMlG8RQuI5zgPllSrB8unSvsyQjZucYXQuV
CSyPu01gL/5wyBa7d+Z6KI5aEECG+6KhrlTanh77XndWSCwxZ1Ykf9Le4grKf2e9kz0JjalyKw3F
uTQyDX+10ebIkGrEnK+dHjlkKJkBw4lIqcrCivu0oO9coBZoplFcmXfg/Ut11H8VZYaeEltbTrYa
k8XnJHVNYztYMZmggoR4C6+FwSCqbIVzzTwmcNsU0he3i5fTOuqmNv4CrMZkqidsJgrTasSzCDmw
e1NOOzY3Xopb5MgEBH+Ca7gU03h8cegUGDEfPTmzUztEjg5bgeD9rmPQFhMSVWfqICNCqSAv+fER
cal8sN2m+EUAlfOFS4oUvmllygQjQ9bQWEkzmSHxmHSqLoissmDRCNrsM7U8swNKkdZ+sGrFfEB2
JGuhKAV29g22KVfGTet5DUIAy3loVgJOSwQHc2qoOEwSAeSMtp3/WqaKCIQGuQGNZvUGuxB1NMdX
39qXuW39mOd2iPZRnmqi1lYYDylZxQ3FD4fVOsc/ozTFx6MCzmEfuQ/wUchvuA+uVDyXic0l2gxp
QC+3NGeG6OY3GCj5hgTV38CgkkIYyxXxpfBtgL1d6U61w21VitlmqqASBqKzrWtQOWjTaZeN03FM
58q/lRxmauHk537wLO6pkXoBj1iitmmdrzQCP1afHinK19VDN+xob5UPNeg89kM4X1fX7Sd9jNOe
LnKe2jo/jg43amh0yyrLLwiX2phENNAwlG2t90UZ4bRoq0qHMYpCdcgJzuIZdyZcZG4v3zVdl7BQ
Wr8zIumW28jyzZHMvC5/mDAP1seWB4X1oRQNAgnDpIWRZVB3itI1X2AfxNgaIF2Mly7uRqIwatf5
9AwLwqOUAQHQFFDBJlW18yw1TYNtzTH6fqazn4f+UHBJTKwdxImTXCjpKKfOjbDJ4EA6goNq47VB
+/r/2DuT3bixLA2/ilF7CuTlvKgCKkZbspQKW2kNGyIsKznPM9+m0Ova9Rv4xfq7lOVWyLbgSnmR
DbR2mZIZDA73nvOff8BMCTosi2gbbbCkTDAZKk1grYjaSUex2pd/wL9EnliUfhMvgsE3jLVp194l
dpNgJdCLWeciHAJqRjx23a4hdkywwUvNVHcxXm3xm4LpWf7aYPJ9ynyinJjTjfx5bjntByUelXo9
NrF/ajBdM4nbydJTI0ySaJ3hWPl7U4RTzSMfq8PWAjphtGhSX4wdBnXEnXZirYtkuoqSTr9JqiSV
aLKX3Aa4sfVrnCWpgasiGN8GlFb6xqhL7TrXLDRKwo3rDwa5f7y6XdGoy0DoBPRGhK1fE3BE4BWo
4wXc1+h9lIQh5Q5WAumCOWdbLzOlTU8aNw3IHlUZFC3MzB52PjgrmYiR0p7iDlEUV6GSBKe506PV
j1TIIdvaiEjs6iDo3VgRG8J6citwoQS/SEzTAr1+3SBzslFq9sN7s+OlwfvE8CucCGy4SgIu0DvM
b8p4GaVME963vWpsTcFtRnNk8WqAG9NVNL1XfsptgAGTRh7JdR7k5xiSGmhTdVdvVgLTl2RVj3pP
nBWU/lPAR699I9pJqxjlFc1V08Ev4b2wxc3IZBEP1AiVj+p4ybltMQlawaX00SNNlf2bqg3HRCDB
HUgmmMS4E6SImM2OZMcFwo9aLIh+065aK3Uuey2NYd9kCflKwP6ognosy859ZsXV2tCq9rhLW5u0
5kAu24aPGgZq9IgECHbH4KxNPYOu0JGuhnuiyfKBrjA3r3n+3eQ4Ijpt10Y+Vm6NBpV41YUeFiog
HMyKIzhKS7MUWbXVyjrCJM+oKXGn2q5IPw3Ist+6HSnbFuzSCieRgReISYd55yZmLdaFNWBtSmWP
NAUhDVRLpkLXMaOEGOa1wsXKSwhYG0EAO1hc0COLQJLbLkrDNi51mAoogyyTOzWOgVRrOF4JgQYL
IRxXPKW/hZGqWksbuwgNclxPClXB804IVtVrGgh7Cj+m0hS9gYrYwSdJXOqMvB/ZOF2rUUjNgSv/
gdtoERCPJOIyUqrGQWwUw/IjidS6I3twMaY2bm5IyG5Y+kvENEbY3lYuod8sKkl9wZS5TZel0One
/MntVThZ4OuruBXlCTOaiMEJ1nj+BlVgWC1D13MvNDCrAWmamSHdMWxyQXGHnc4I18ubRY304oY9
3K+XmNY5uxDBUUmkmCyEWh+z5BXj1pA9HID2cuoN1hqMNUiFtLPObKBiVOxtYzDAE8wbDSI1izmy
Pn1IlOt8VA06kz6rC2RUSMuQv/h1iqtlAbDuJl6OsspMsSwgBxKmm1kjjadPDFp0TBbXchmrZnSu
un618XFbLFbdALa54X2p+zVnHpWLyOxYZLoCnerKCDzttvaEnM1yWYkFb4mCXuh201wGgVLjaAvA
mmRWwwzebNWLmsEFiV8YLxZyQtWeDSIZM75OjLkuVL3mhMS6NoP/4qtvFKdtdqnGgHk1RLX6zg96
GSSr+HmxqrSSkNjBqFkihbD7HRlbOnY4DN+dE6sq3AbT4DwpNpRn1FMOJr0fzQlGEulnCfp6zqkg
a5TYMmKhIq3bAb/3yrKgrvUJgGWYTCBUgYtdqUCeS1RmSiu4etpGeIPhLjXRB/BXrEmgRsg1MPKw
K8zl5IeIXFQrs876Ns7exgMLPttLER0Dn0hVvstMa5EKLbmZFBZbKqtR+jYqGkqXPqFzLAjzcjG8
89WPo2JraEnGyn8PjQEEooQZ+67G99VfxwpemGQ0ajHGK0YySSOiSNsEQ4goxu0c3z5xcLt7qyYJ
Xgl1mYstnCsdVQgUe0hawhxjzPicCdKKLh+X0JriW50lZZ92XWdsdU1tlaXryKmMYhsZjwnZRZ+y
NGJcxQtrYRFRt+Up4q7UJvuKdnxRdfA6PY9KFPZaVthrYVus48EEIxHHx8LYDm0ISBWYpo0wQ6sb
1H6tSnEcBWaJl2YZlfAJXPeNUnU9Bskq2WjsQ6Vz14VNq26YCJvpshmEeq1iitws89h3fAT4TXAT
OFgUbUzK3WSjkbPUIDtuCrFFmwDZmLAuTH5s5tIQpRE+fgzqRPujtgQ1voUspqKXUH0PnxsUgoTs
ehAUHS9r2ObsrhTI9N3iToVM0iNMtgre/64k1dF1WjA4vcjaj3aMCTQsQDWuMRXR0o9mpUu2nhGJ
33EJ9ieO1NsYRqsVz19gpDpn0hp+eazx6FXIG9GFkZIoo6Sp+SBdJggirIQJlFxEBp4EJuy8XEpQ
cViWnGor/Ma2FnnuSLauTl24RK5p6bvWykduZtcoG9Nrs61B0ipMw7CJNv+PKjxFFVyUJLNV/o9x
heXdvvr8r8e4wtd/9ABa20dAA8Ih2AkrMKTvmNs8IAvakSE0S1VBDmwXdAFg+hGy4JgyIIBhujTc
o91/QBZsXP9AKIiHkmi4qeviP7HEmUH4J8gCJrX4QuJVS+6UPhvjPcriwMO0a6qQiGur6SD6UzCn
GKpLD9dxtnONpLMrYCBDKihVw8c5Vw9z+Xjf2VTzC+pL+DAmuYNXujSMHaO29rDgpsCFc2ePn3y1
a3uIaVaXrMpwtHYRxupQyTWGqAsLXPmPRghtNwZAzScDRAywVYbwAsdlx/sdrdzU01MpHQmpJsxV
XjdS54JJQJNuG8Lt8X3tUSMGcB3O6AWTa4zoTyvLcuLXqtGiQm/7ntqkhxADb28au99hquI7ohlj
fD5FfTes1M7TjzFUM/JVFCYZjS/6cXuVRVl+XGk1ab550Yc3tIEY9+hWmpwqqoV0hIrbEACw0BqX
bac20NKx0gVqbXxGcoZgR7OGWhBiPHjNO1WalYmyRKeGQ0BfsZlhZ9bWdX1eDAUybZxAJI8hmvwY
6qzvnyLrxRGtqF3c0SyKnRNN9xJzo0r7tN5n9dv2Xg+9NM0yA4g4pFqocTaA9MoqaR2n5B+zwktr
tsnRkIoW8I/rlUWO6TFR3o679WsvuiCC1j4LOjRQsPKcdJ96Q4KDiqrBvvWkKVyP0xmoL7HW8etQ
2sYJqNgwVhu79Da+adgs7ZoX3AIC4AirKbhB7zJbzTGi0+krOtYho0SjVveBvo+SIrlqPYEfv2YM
iY9KuYQ6hXg/YR0UeqPrS8tWY4zaJ3GGaxhbBig7ocackJLvY+zE7JNCtzzzrWfCquqWttWnwzIF
f4lflzhPQ5BTMRohE9eF7aZCdKNTMfoi2jiW1tQbrdDyfJuzBZlbZs/1ZYwlUL42MadbWwPiiLWh
FTbSes2FC6VnaWVSppJmjB8U9IwVKAbaVfjCyXgeOQUaViPEX2dZGnLjYN4krvW4GGGYaW6B5QhQ
sX4GwbtCygNu7zAOBXCDql8yWOgwv0PcR5YXlZYIxGtskgfjWMPmMTmnM0/6C16u/IPZadjZFwoW
amed3yQgXVj+L2nsyfOGkbtTamxrV67wtK3neQR60pe241brqL0+ZKE9AdYwXgDWUDuTWr1q+10p
DP2G4GYVnXvpI0KPPWdIriqk3fEWDga7+Dh3Zubcpdlicm6w86d3Y2crom2ugtdAYKG9sxnKF1de
pOHI4Sf0f4mRjrtx7goDV+EsAdVpFsk0r9lWZQ9JARJwMZQxeg9QWV2UlnBPQtl4+kL2oB4sd5Uy
R/ammmxT/RRO7EKXzSvadgWLBrcc37Jw0d36c6fr3je9GVL4ULbCEcPkq0rweethbpVz2TWbsoFW
GntE8Tb31alssXMRx9EaJVZyqs89OH2I8rYaaabWcLHaDzRyWb2Ih7KYSIXNseo2NOhzEcVejAaW
QnTnzl1/O5lVu1aqgPY+npEBY0YJaDy8S6IywQ7yGUdg0Eydb0h4gXkeSIM1ow7pjEDgIwUaQb4P
yESodOVlP+MVjEE7ua4AY/R5RYrLNKMbSo/6l5pToh6GIpTf8FvLccCZYZEZIVGBQd6MYQJuYqiF
vi9nNMWckRW6aFAWkhzUD/WMvcAlBYeBNYiKZkZnAClBarzMj3fujN/wtoHlxDWwTicBHt8zrytN
9zWCHGb8J5BYUCFhIeahIETjjBbFleIztJ9RJG9GlNoZXYpmpAk9PqiTPiNQxFQDRrWG1HxJiIoS
l/lcidL9t7Qaq30wo1m6ies9ejBArsHOeaoyCX1hEkast5HYp1IC9noMmkg5sWe8rCId4703m3dD
tXX/yJKYdVqH230RQTrM8ASQpt8Z9iwYgPNY+Rt/KHGpMDtsJxYVUlgyuIsegHBKeqQMJNa27+Ig
R8YAIgoOnxnSdpxlis4IIxnsyINRWpOragMjhi0aeovSwgKJccnWSH6VpuZeWPu302x1nsy251OM
A/owm6GPXhncFrNFei9USCbTbJ3uzDbqbSEt1R3K4n45NVPT/x+eIH0xoV7tm/0aN8Jm3LV31fju
rm6T5j7FFOsz+ds5Z/CCeeaf+aOH1M3vH+iLDfTFWNz9/W+3eYsuizPwwzx7XAhSlh0OpOYzmk/3
uQMke064/cSR5QhJn39UDpXkGYDr/S9M/Qi3cH6o1+af+496dG1+9O2f/2L3l/H5vzk49/0nRiUr
jBGfls7UudpPfv8nx3j0/YV9hKuDg6GMxQDNMKmBH18FwzliQ8YbG+KvJnSQ9MctzPdv3c98w5/5
m5+9Co54Snn5wVPwzFXQj6jx6Rsc5/5mc8SDy2AdWbQXFqD+/Q9DSBqWv9DDoDNqffHDoLkyONfi
YTC+fxn0I6ZIZO6imZh/7ufBf6HLILB8p8M7aCb/46dBV49UFFHC5S4/fgpM7YhWkggxHYNT+fPX
WxIQ8dw/mvdcp68v6LdL4jMvgzhCDMqLoIkvT/vhZTD0IxzqYWjcr4+01j//MvzEo/J1h1kyUvs0
7y3hHUD6t1vQj/7gYXH99vdflhSZY/yoo5//Tu409x99N29n8r//cXCR5tf90S8fXv/H//zL9/v2
k797Tg//83V4V+2r22Ccv+345SzP9ik71D9vqwO6HtS8hx3wfnM8OMdHj/6zB032fr6vHw4kr4em
qjw5//v1/v63P3XgdD/l2ZMjGzKd9qVHXuyDcP9wGHnCwpR0lJcednP3iWufvPreBkuCEG/4Sz9h
XRef/42rb/7qPd7OB1nnGnYfv+ATtnn4+V+HN1MIh2Xwpad+uidcI/j8XwcnLVTxK076dM8V2VZ5
XecyvON9mzyc73xzIfVQarz8C3z9kIeD3R+dmu7hf/z5t+j8KS4pTM39Ncfdf/73xydPu/gV7+f5
XZXt04/t7eEthZ/7C662jGMhiuV4n92F1eEH3O9LL72dP5n38nX9/nNr2OGnPH0w7wuMl34TuRTs
Xy3poYh1ObzR91X9iz+At/bV+Z7x78NzPj/47lwsv/jgP2aRv/DaP2uA/8Jj/xMfgMM5giyaf8H7
esotrF9t2UfCg1X4S03+0qv9Y17lCy/Iu5wzTg+ePnnKsOFfesrv8uzT5//ODjdslymKK+cvLz06
6+4+O7yTrm6opv0L7uVzw6ZnL/f3Kr+vHeK39eBDA/y9f3ZY68q/uE2Ygf3jfwAAAP//</cx:binary>
              </cx:geoCache>
            </cx:geography>
          </cx:layoutPr>
        </cx:series>
      </cx:plotAreaRegion>
    </cx:plotArea>
    <cx:legend pos="r" align="min" overlay="0"/>
  </cx:chart>
  <cx:spPr>
    <a:solidFill>
      <a:schemeClr val="bg1">
        <a:lumMod val="95000"/>
      </a:schemeClr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75478</xdr:rowOff>
    </xdr:from>
    <xdr:to>
      <xdr:col>6</xdr:col>
      <xdr:colOff>299356</xdr:colOff>
      <xdr:row>27</xdr:row>
      <xdr:rowOff>31216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4C03-C05D-4137-8868-A39DACFB1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0</xdr:row>
      <xdr:rowOff>174650</xdr:rowOff>
    </xdr:from>
    <xdr:to>
      <xdr:col>6</xdr:col>
      <xdr:colOff>299356</xdr:colOff>
      <xdr:row>13</xdr:row>
      <xdr:rowOff>130388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6BFC88-2C37-4BB2-8268-90998A2B23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600635</xdr:colOff>
      <xdr:row>1</xdr:row>
      <xdr:rowOff>0</xdr:rowOff>
    </xdr:from>
    <xdr:to>
      <xdr:col>11</xdr:col>
      <xdr:colOff>435430</xdr:colOff>
      <xdr:row>27</xdr:row>
      <xdr:rowOff>44824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D4F1DB91-F957-4DFB-9019-556B40B15A2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20635" y="185057"/>
              <a:ext cx="5038166" cy="4856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</xdr:col>
      <xdr:colOff>1361</xdr:colOff>
      <xdr:row>27</xdr:row>
      <xdr:rowOff>172193</xdr:rowOff>
    </xdr:from>
    <xdr:to>
      <xdr:col>3</xdr:col>
      <xdr:colOff>1115785</xdr:colOff>
      <xdr:row>37</xdr:row>
      <xdr:rowOff>163287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980941-7CBE-477A-9B82-228DA7E6D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1259280</xdr:colOff>
      <xdr:row>27</xdr:row>
      <xdr:rowOff>172193</xdr:rowOff>
    </xdr:from>
    <xdr:to>
      <xdr:col>6</xdr:col>
      <xdr:colOff>1061358</xdr:colOff>
      <xdr:row>37</xdr:row>
      <xdr:rowOff>163287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757F21-4FB1-4D76-9511-D0DFF3297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1197429</xdr:colOff>
      <xdr:row>27</xdr:row>
      <xdr:rowOff>172193</xdr:rowOff>
    </xdr:from>
    <xdr:to>
      <xdr:col>10</xdr:col>
      <xdr:colOff>979714</xdr:colOff>
      <xdr:row>37</xdr:row>
      <xdr:rowOff>163287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E53489FA-9FAC-4DFD-8853-06A7FE3C50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38101</xdr:colOff>
      <xdr:row>1</xdr:row>
      <xdr:rowOff>95250</xdr:rowOff>
    </xdr:from>
    <xdr:to>
      <xdr:col>10</xdr:col>
      <xdr:colOff>576943</xdr:colOff>
      <xdr:row>19</xdr:row>
      <xdr:rowOff>119743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3566713-021E-4182-AB15-D2123FC89B6C}"/>
            </a:ext>
          </a:extLst>
        </xdr:cNvPr>
        <xdr:cNvSpPr txBox="1"/>
      </xdr:nvSpPr>
      <xdr:spPr>
        <a:xfrm>
          <a:off x="647701" y="280307"/>
          <a:ext cx="6025242" cy="33555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1) Receita, leads, conversão e ticket médio mês a mês</a:t>
          </a:r>
          <a:endParaRPr lang="pt-BR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mês, leads (#), vendas (#), receita (k, R$), conversão (%), ticket médio (k, R$)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with 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leads as (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date_trunc('month', visit_page_date)::date as visit_page_month,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count(*) as visit_page_count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group by visit_page_month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order by visit_page_month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payments as (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select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date_trunc('month', fun.paid_date)::date as paid_month,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count(fun.paid_date) as paid_count,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sum(pro.price * (1+fun.discount)) as receita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from sales.funnel as fun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left join sales.products as pro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on fun.product_id = pro.product_id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where fun.paid_date is not null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group by paid_month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order by paid_month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)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leads.visit_page_month as "mês",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leads.visit_page_count as "leads (#)",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payments.paid_count as "vendas (#)",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(payments.receita/1000) as "receita (k, R$)",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(payments.paid_count::float/leads.visit_page_count::float) as "conversão (%)",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(payments.receita/payments.paid_count/1000) as "ticket médio (k, R$)"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leads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payments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leads.visit_page_month = paid_month</a:t>
          </a:r>
          <a:endParaRPr lang="pt-BR">
            <a:effectLst/>
          </a:endParaRPr>
        </a:p>
      </xdr:txBody>
    </xdr:sp>
    <xdr:clientData/>
  </xdr:twoCellAnchor>
  <xdr:twoCellAnchor>
    <xdr:from>
      <xdr:col>11</xdr:col>
      <xdr:colOff>57150</xdr:colOff>
      <xdr:row>1</xdr:row>
      <xdr:rowOff>123825</xdr:rowOff>
    </xdr:from>
    <xdr:to>
      <xdr:col>17</xdr:col>
      <xdr:colOff>285751</xdr:colOff>
      <xdr:row>19</xdr:row>
      <xdr:rowOff>114300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53070A-26F3-425E-B1E3-F88CBB32060B}"/>
            </a:ext>
          </a:extLst>
        </xdr:cNvPr>
        <xdr:cNvSpPr txBox="1"/>
      </xdr:nvSpPr>
      <xdr:spPr>
        <a:xfrm>
          <a:off x="679268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2) Estados que mais venderam</a:t>
          </a:r>
          <a:endParaRPr lang="pt-BR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país, estado, vendas (#)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'Brazil' as país,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cus.state as estado,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count(fun.paid_date) as "vendas (#)"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sales.customers as cus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fun.customer_id = cus.customer_id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paid_date between '2021-08-01' and '2021-08-31'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país, estado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"vendas (#)" desc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5</a:t>
          </a:r>
          <a:endParaRPr lang="pt-BR">
            <a:effectLst/>
          </a:endParaRPr>
        </a:p>
      </xdr:txBody>
    </xdr:sp>
    <xdr:clientData/>
  </xdr:twoCellAnchor>
  <xdr:twoCellAnchor>
    <xdr:from>
      <xdr:col>17</xdr:col>
      <xdr:colOff>478972</xdr:colOff>
      <xdr:row>1</xdr:row>
      <xdr:rowOff>123825</xdr:rowOff>
    </xdr:from>
    <xdr:to>
      <xdr:col>24</xdr:col>
      <xdr:colOff>95251</xdr:colOff>
      <xdr:row>19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A4D350-E21D-4F46-82A0-236CC41D5F54}"/>
            </a:ext>
          </a:extLst>
        </xdr:cNvPr>
        <xdr:cNvSpPr txBox="1"/>
      </xdr:nvSpPr>
      <xdr:spPr>
        <a:xfrm>
          <a:off x="10888436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3) Marcas que mais venderam no mês</a:t>
          </a:r>
          <a:endParaRPr lang="pt-BR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marca, vendas (#)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pro.brand as marca,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count(fun.paid_date) as "vendas (#)"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sales.products as pro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fun.product_id = pro.product_id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paid_date between '2021-08-01' and '2021-08-31'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marca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"vendas (#)" desc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5</a:t>
          </a:r>
          <a:endParaRPr lang="pt-BR">
            <a:effectLst/>
          </a:endParaRPr>
        </a:p>
      </xdr:txBody>
    </xdr:sp>
    <xdr:clientData/>
  </xdr:twoCellAnchor>
  <xdr:twoCellAnchor>
    <xdr:from>
      <xdr:col>24</xdr:col>
      <xdr:colOff>274865</xdr:colOff>
      <xdr:row>1</xdr:row>
      <xdr:rowOff>123825</xdr:rowOff>
    </xdr:from>
    <xdr:to>
      <xdr:col>30</xdr:col>
      <xdr:colOff>503465</xdr:colOff>
      <xdr:row>19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B0CCFB6-0FFE-4D07-A857-E2431D34FBCC}"/>
            </a:ext>
          </a:extLst>
        </xdr:cNvPr>
        <xdr:cNvSpPr txBox="1"/>
      </xdr:nvSpPr>
      <xdr:spPr>
        <a:xfrm>
          <a:off x="1497057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4) Lojas que mais venderam</a:t>
          </a:r>
          <a:endParaRPr lang="pt-BR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loja, vendas (#)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sto.store_name as loja,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count(fun.paid_date) as "vendas (#)"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 as fun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left join sales.stores as sto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on fun.store_id = sto.store_id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paid_date between '2021-08-01' and '2021-08-31'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loja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"vendas (#)" desc</a:t>
          </a:r>
          <a:endParaRPr lang="pt-BR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limit 5</a:t>
          </a:r>
          <a:endParaRPr lang="pt-BR">
            <a:effectLst/>
          </a:endParaRPr>
        </a:p>
      </xdr:txBody>
    </xdr:sp>
    <xdr:clientData/>
  </xdr:twoCellAnchor>
  <xdr:twoCellAnchor>
    <xdr:from>
      <xdr:col>31</xdr:col>
      <xdr:colOff>84365</xdr:colOff>
      <xdr:row>1</xdr:row>
      <xdr:rowOff>123825</xdr:rowOff>
    </xdr:from>
    <xdr:to>
      <xdr:col>37</xdr:col>
      <xdr:colOff>312965</xdr:colOff>
      <xdr:row>19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E97282A-12D0-45EB-92E3-3A39CF6A421C}"/>
            </a:ext>
          </a:extLst>
        </xdr:cNvPr>
        <xdr:cNvSpPr txBox="1"/>
      </xdr:nvSpPr>
      <xdr:spPr>
        <a:xfrm>
          <a:off x="19066329" y="314325"/>
          <a:ext cx="3902529" cy="3419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(Query 5) Dias da semana com maior número de visitas ao site</a:t>
          </a:r>
          <a:endParaRPr lang="pt-BR">
            <a:effectLst/>
          </a:endParaRPr>
        </a:p>
        <a:p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Colunas: dia_semana, dia da semana, visitas (#)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extract('dow' from visit_page_date) as dia_semana,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case 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visit_page_date)=0 then 'domingo'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visit_page_date)=1 then 'segunda'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visit_page_date)=2 then 'terça'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visit_page_date)=3 then 'quarta'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visit_page_date)=4 then 'quinta'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visit_page_date)=5 then 'sexta'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when extract('dow' from visit_page_date)=6 then 'sábado'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else null end as "dia da semana",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count(*) as "visitas (#)"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sales.funnel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 visit_page_date between '2021-08-01' and '2021-08-31'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by dia_semana</a:t>
          </a:r>
          <a:endParaRPr lang="pt-BR">
            <a:effectLst/>
          </a:endParaRPr>
        </a:p>
        <a:p>
          <a:r>
            <a:rPr lang="pt-BR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order by dia_semana</a:t>
          </a:r>
          <a:endParaRPr lang="pt-B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916E-A1E2-4185-80B4-F277BBE3ABDD}">
  <sheetPr>
    <tabColor rgb="FF1C819E"/>
    <pageSetUpPr fitToPage="1"/>
  </sheetPr>
  <dimension ref="B1:G1"/>
  <sheetViews>
    <sheetView showGridLines="0" tabSelected="1" zoomScale="70" zoomScaleNormal="70" workbookViewId="0">
      <selection activeCell="N18" sqref="N18"/>
    </sheetView>
  </sheetViews>
  <sheetFormatPr defaultRowHeight="14.4" x14ac:dyDescent="0.3"/>
  <cols>
    <col min="1" max="1" width="6.33203125" customWidth="1"/>
    <col min="2" max="2" width="21" style="9" customWidth="1"/>
    <col min="3" max="4" width="21" customWidth="1"/>
    <col min="5" max="5" width="21" style="7" customWidth="1"/>
    <col min="6" max="6" width="21" style="3" customWidth="1"/>
    <col min="7" max="7" width="21" style="5" customWidth="1"/>
    <col min="9" max="9" width="14.33203125" customWidth="1"/>
    <col min="10" max="11" width="15.88671875" customWidth="1"/>
    <col min="13" max="13" width="20" customWidth="1"/>
    <col min="14" max="14" width="11.109375" customWidth="1"/>
    <col min="16" max="16" width="20" customWidth="1"/>
    <col min="17" max="17" width="11.109375" customWidth="1"/>
    <col min="19" max="19" width="12.5546875" bestFit="1" customWidth="1"/>
    <col min="20" max="20" width="15.109375" bestFit="1" customWidth="1"/>
    <col min="21" max="21" width="10" bestFit="1" customWidth="1"/>
  </cols>
  <sheetData/>
  <pageMargins left="0.7" right="0.7" top="0.75" bottom="0.75" header="0.3" footer="0.3"/>
  <pageSetup paperSize="5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32F22-2A99-4596-8E95-DC3DA04C550C}">
  <sheetPr>
    <tabColor rgb="FFFFBE00"/>
  </sheetPr>
  <dimension ref="B2:U30"/>
  <sheetViews>
    <sheetView showGridLines="0" zoomScale="85" zoomScaleNormal="85" workbookViewId="0">
      <selection activeCell="S14" sqref="S14"/>
    </sheetView>
  </sheetViews>
  <sheetFormatPr defaultRowHeight="14.4" x14ac:dyDescent="0.3"/>
  <cols>
    <col min="2" max="2" width="12" customWidth="1"/>
    <col min="3" max="7" width="10.6640625" customWidth="1"/>
    <col min="8" max="8" width="7.6640625" customWidth="1"/>
    <col min="9" max="11" width="10.6640625" customWidth="1"/>
    <col min="12" max="12" width="7.6640625" customWidth="1"/>
    <col min="13" max="14" width="10.6640625" customWidth="1"/>
    <col min="16" max="16" width="36" bestFit="1" customWidth="1"/>
    <col min="17" max="17" width="10.6640625" customWidth="1"/>
    <col min="19" max="21" width="10.6640625" customWidth="1"/>
  </cols>
  <sheetData>
    <row r="2" spans="2:21" x14ac:dyDescent="0.3">
      <c r="B2" s="12" t="s">
        <v>13</v>
      </c>
      <c r="I2" s="12" t="s">
        <v>14</v>
      </c>
      <c r="M2" s="12" t="s">
        <v>15</v>
      </c>
      <c r="P2" s="12" t="s">
        <v>16</v>
      </c>
      <c r="S2" s="12" t="s">
        <v>17</v>
      </c>
    </row>
    <row r="3" spans="2:21" x14ac:dyDescent="0.3">
      <c r="B3" s="8" t="s">
        <v>0</v>
      </c>
      <c r="C3" s="1" t="s">
        <v>1</v>
      </c>
      <c r="D3" s="1" t="s">
        <v>2</v>
      </c>
      <c r="E3" s="6" t="s">
        <v>3</v>
      </c>
      <c r="F3" s="2" t="s">
        <v>4</v>
      </c>
      <c r="G3" s="4" t="s">
        <v>5</v>
      </c>
      <c r="I3" s="1" t="s">
        <v>7</v>
      </c>
      <c r="J3" s="1" t="s">
        <v>6</v>
      </c>
      <c r="K3" s="1" t="s">
        <v>2</v>
      </c>
      <c r="M3" s="1" t="s">
        <v>8</v>
      </c>
      <c r="N3" s="1" t="s">
        <v>2</v>
      </c>
      <c r="P3" s="1" t="s">
        <v>9</v>
      </c>
      <c r="Q3" s="1" t="s">
        <v>2</v>
      </c>
      <c r="S3" s="1" t="s">
        <v>10</v>
      </c>
      <c r="T3" s="1" t="s">
        <v>11</v>
      </c>
      <c r="U3" s="1" t="s">
        <v>12</v>
      </c>
    </row>
    <row r="4" spans="2:21" x14ac:dyDescent="0.3">
      <c r="B4" s="8">
        <v>44075</v>
      </c>
      <c r="C4" s="6">
        <v>26</v>
      </c>
      <c r="D4" s="6">
        <v>5</v>
      </c>
      <c r="E4" s="6">
        <v>259.29000000000002</v>
      </c>
      <c r="F4" s="2">
        <v>0.19230769230769201</v>
      </c>
      <c r="G4" s="4">
        <v>51.857999999999997</v>
      </c>
      <c r="I4" s="1" t="s">
        <v>18</v>
      </c>
      <c r="J4" s="1" t="s">
        <v>19</v>
      </c>
      <c r="K4" s="1">
        <v>734</v>
      </c>
      <c r="M4" s="1" t="s">
        <v>24</v>
      </c>
      <c r="N4" s="1">
        <v>248</v>
      </c>
      <c r="P4" s="1" t="s">
        <v>29</v>
      </c>
      <c r="Q4" s="1">
        <v>18</v>
      </c>
      <c r="S4" s="1">
        <v>0</v>
      </c>
      <c r="T4" s="1" t="s">
        <v>34</v>
      </c>
      <c r="U4" s="1">
        <v>67</v>
      </c>
    </row>
    <row r="5" spans="2:21" x14ac:dyDescent="0.3">
      <c r="B5" s="8">
        <v>44105</v>
      </c>
      <c r="C5" s="6">
        <v>931</v>
      </c>
      <c r="D5" s="6">
        <v>35</v>
      </c>
      <c r="E5" s="6">
        <v>1676.45685</v>
      </c>
      <c r="F5" s="2">
        <v>3.7593984962405999E-2</v>
      </c>
      <c r="G5" s="4">
        <v>47.898767142857103</v>
      </c>
      <c r="I5" s="1" t="s">
        <v>18</v>
      </c>
      <c r="J5" s="1" t="s">
        <v>20</v>
      </c>
      <c r="K5" s="1">
        <v>142</v>
      </c>
      <c r="M5" s="1" t="s">
        <v>25</v>
      </c>
      <c r="N5" s="1">
        <v>237</v>
      </c>
      <c r="P5" s="1" t="s">
        <v>30</v>
      </c>
      <c r="Q5" s="1">
        <v>15</v>
      </c>
      <c r="S5" s="1">
        <v>1</v>
      </c>
      <c r="T5" s="1" t="s">
        <v>35</v>
      </c>
      <c r="U5" s="1">
        <v>1301</v>
      </c>
    </row>
    <row r="6" spans="2:21" x14ac:dyDescent="0.3">
      <c r="B6" s="8">
        <v>44136</v>
      </c>
      <c r="C6" s="6">
        <v>1207</v>
      </c>
      <c r="D6" s="6">
        <v>44</v>
      </c>
      <c r="E6" s="6">
        <v>2278.5075000000002</v>
      </c>
      <c r="F6" s="2">
        <v>3.6454018227009097E-2</v>
      </c>
      <c r="G6" s="4">
        <v>51.784261363636297</v>
      </c>
      <c r="I6" s="1" t="s">
        <v>18</v>
      </c>
      <c r="J6" s="1" t="s">
        <v>21</v>
      </c>
      <c r="K6" s="1">
        <v>110</v>
      </c>
      <c r="M6" s="1" t="s">
        <v>26</v>
      </c>
      <c r="N6" s="1">
        <v>193</v>
      </c>
      <c r="P6" s="1" t="s">
        <v>31</v>
      </c>
      <c r="Q6" s="1">
        <v>10</v>
      </c>
      <c r="S6" s="1">
        <v>2</v>
      </c>
      <c r="T6" s="1" t="s">
        <v>36</v>
      </c>
      <c r="U6" s="1">
        <v>1238</v>
      </c>
    </row>
    <row r="7" spans="2:21" x14ac:dyDescent="0.3">
      <c r="B7" s="8">
        <v>44166</v>
      </c>
      <c r="C7" s="6">
        <v>1008</v>
      </c>
      <c r="D7" s="6">
        <v>33</v>
      </c>
      <c r="E7" s="6">
        <v>2602.7686899999999</v>
      </c>
      <c r="F7" s="2">
        <v>3.2738095238095198E-2</v>
      </c>
      <c r="G7" s="4">
        <v>78.871778484848406</v>
      </c>
      <c r="I7" s="1" t="s">
        <v>18</v>
      </c>
      <c r="J7" s="1" t="s">
        <v>22</v>
      </c>
      <c r="K7" s="1">
        <v>98</v>
      </c>
      <c r="M7" s="1" t="s">
        <v>27</v>
      </c>
      <c r="N7" s="1">
        <v>136</v>
      </c>
      <c r="P7" s="1" t="s">
        <v>32</v>
      </c>
      <c r="Q7" s="1">
        <v>10</v>
      </c>
      <c r="S7" s="1">
        <v>3</v>
      </c>
      <c r="T7" s="1" t="s">
        <v>37</v>
      </c>
      <c r="U7" s="1">
        <v>1038</v>
      </c>
    </row>
    <row r="8" spans="2:21" x14ac:dyDescent="0.3">
      <c r="B8" s="8">
        <v>44197</v>
      </c>
      <c r="C8" s="6">
        <v>1058</v>
      </c>
      <c r="D8" s="6">
        <v>32</v>
      </c>
      <c r="E8" s="6">
        <v>2297.2240499999998</v>
      </c>
      <c r="F8" s="2">
        <v>3.0245746691871401E-2</v>
      </c>
      <c r="G8" s="4">
        <v>71.788251562499994</v>
      </c>
      <c r="I8" s="1" t="s">
        <v>18</v>
      </c>
      <c r="J8" s="1" t="s">
        <v>23</v>
      </c>
      <c r="K8" s="1">
        <v>66</v>
      </c>
      <c r="M8" s="1" t="s">
        <v>28</v>
      </c>
      <c r="N8" s="1">
        <v>108</v>
      </c>
      <c r="P8" s="1" t="s">
        <v>33</v>
      </c>
      <c r="Q8" s="1">
        <v>10</v>
      </c>
      <c r="S8" s="1">
        <v>4</v>
      </c>
      <c r="T8" s="1" t="s">
        <v>38</v>
      </c>
      <c r="U8" s="1">
        <v>1076</v>
      </c>
    </row>
    <row r="9" spans="2:21" x14ac:dyDescent="0.3">
      <c r="B9" s="8">
        <v>44228</v>
      </c>
      <c r="C9" s="6">
        <v>1300</v>
      </c>
      <c r="D9" s="6">
        <v>68</v>
      </c>
      <c r="E9" s="6">
        <v>3631.0958999999998</v>
      </c>
      <c r="F9" s="2">
        <v>5.2307692307692298E-2</v>
      </c>
      <c r="G9" s="4">
        <v>53.398469117646997</v>
      </c>
      <c r="S9" s="1">
        <v>5</v>
      </c>
      <c r="T9" s="1" t="s">
        <v>39</v>
      </c>
      <c r="U9" s="1">
        <v>956</v>
      </c>
    </row>
    <row r="10" spans="2:21" x14ac:dyDescent="0.3">
      <c r="B10" s="8">
        <v>44256</v>
      </c>
      <c r="C10" s="6">
        <v>1932</v>
      </c>
      <c r="D10" s="6">
        <v>119</v>
      </c>
      <c r="E10" s="6">
        <v>7911.1924799999997</v>
      </c>
      <c r="F10" s="2">
        <v>6.15942028985507E-2</v>
      </c>
      <c r="G10" s="4">
        <v>66.480609075630198</v>
      </c>
      <c r="S10" s="1">
        <v>6</v>
      </c>
      <c r="T10" s="1" t="s">
        <v>40</v>
      </c>
      <c r="U10" s="1">
        <v>677</v>
      </c>
    </row>
    <row r="11" spans="2:21" x14ac:dyDescent="0.3">
      <c r="B11" s="8">
        <v>44287</v>
      </c>
      <c r="C11" s="6">
        <v>2376</v>
      </c>
      <c r="D11" s="6">
        <v>142</v>
      </c>
      <c r="E11" s="6">
        <v>7477.5559199999998</v>
      </c>
      <c r="F11" s="2">
        <v>5.97643097643097E-2</v>
      </c>
      <c r="G11" s="4">
        <v>52.658844507042197</v>
      </c>
    </row>
    <row r="12" spans="2:21" x14ac:dyDescent="0.3">
      <c r="B12" s="8">
        <v>44317</v>
      </c>
      <c r="C12" s="6">
        <v>3819</v>
      </c>
      <c r="D12" s="6">
        <v>394</v>
      </c>
      <c r="E12" s="6">
        <v>21508.476480000001</v>
      </c>
      <c r="F12" s="2">
        <v>0.103168368682901</v>
      </c>
      <c r="G12" s="4">
        <v>54.590041827411099</v>
      </c>
    </row>
    <row r="13" spans="2:21" x14ac:dyDescent="0.3">
      <c r="B13" s="8">
        <v>44348</v>
      </c>
      <c r="C13" s="6">
        <v>4440</v>
      </c>
      <c r="D13" s="6">
        <v>589</v>
      </c>
      <c r="E13" s="6">
        <v>33179.246639999998</v>
      </c>
      <c r="F13" s="2">
        <v>0.132657657657657</v>
      </c>
      <c r="G13" s="4">
        <v>56.331488353140898</v>
      </c>
    </row>
    <row r="14" spans="2:21" x14ac:dyDescent="0.3">
      <c r="B14" s="8">
        <v>44378</v>
      </c>
      <c r="C14" s="6">
        <v>6130</v>
      </c>
      <c r="D14" s="6">
        <v>1073</v>
      </c>
      <c r="E14" s="6">
        <v>58987.786489999999</v>
      </c>
      <c r="F14" s="2">
        <v>0.17504078303425699</v>
      </c>
      <c r="G14" s="4">
        <v>54.974637921714802</v>
      </c>
    </row>
    <row r="15" spans="2:21" x14ac:dyDescent="0.3">
      <c r="B15" s="8">
        <v>44409</v>
      </c>
      <c r="C15" s="6">
        <v>6353</v>
      </c>
      <c r="D15" s="6">
        <v>1254</v>
      </c>
      <c r="E15" s="6">
        <v>68274.090230000002</v>
      </c>
      <c r="F15" s="2">
        <v>0.19738706123091401</v>
      </c>
      <c r="G15" s="4">
        <v>54.445048030302999</v>
      </c>
    </row>
    <row r="29" spans="3:14" x14ac:dyDescent="0.3">
      <c r="C29" s="10">
        <v>44075</v>
      </c>
      <c r="D29" s="10">
        <f>EDATE(C29,1)</f>
        <v>44105</v>
      </c>
      <c r="E29" s="10">
        <f t="shared" ref="E29:L29" si="0">EDATE(D29,1)</f>
        <v>44136</v>
      </c>
      <c r="F29" s="10">
        <f t="shared" si="0"/>
        <v>44166</v>
      </c>
      <c r="G29" s="10">
        <f t="shared" si="0"/>
        <v>44197</v>
      </c>
      <c r="H29" s="10">
        <f t="shared" si="0"/>
        <v>44228</v>
      </c>
      <c r="I29" s="10">
        <f t="shared" si="0"/>
        <v>44256</v>
      </c>
      <c r="J29" s="10">
        <f t="shared" si="0"/>
        <v>44287</v>
      </c>
      <c r="K29" s="10">
        <f t="shared" si="0"/>
        <v>44317</v>
      </c>
      <c r="L29" s="10">
        <f t="shared" si="0"/>
        <v>44348</v>
      </c>
      <c r="M29" s="10">
        <f t="shared" ref="M29:N29" si="1">EDATE(L29,1)</f>
        <v>44378</v>
      </c>
      <c r="N29" s="10">
        <f t="shared" si="1"/>
        <v>44409</v>
      </c>
    </row>
    <row r="30" spans="3:14" x14ac:dyDescent="0.3"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3CE6C-C51E-4BD1-9444-EF514F8C452A}">
  <sheetPr>
    <tabColor rgb="FF404040"/>
  </sheetPr>
  <dimension ref="A1"/>
  <sheetViews>
    <sheetView showGridLines="0" topLeftCell="G1" zoomScale="70" zoomScaleNormal="70" workbookViewId="0">
      <selection activeCell="Z25" sqref="Z2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Dashboard</vt:lpstr>
      <vt:lpstr>Resultados</vt:lpstr>
      <vt:lpstr>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Midori Toyota</dc:creator>
  <cp:lastModifiedBy>Caio Costa</cp:lastModifiedBy>
  <cp:lastPrinted>2021-12-25T02:20:17Z</cp:lastPrinted>
  <dcterms:created xsi:type="dcterms:W3CDTF">2015-06-05T18:17:20Z</dcterms:created>
  <dcterms:modified xsi:type="dcterms:W3CDTF">2026-03-12T20:48:56Z</dcterms:modified>
</cp:coreProperties>
</file>